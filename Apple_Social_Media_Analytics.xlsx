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pivotTables/pivotTable12.xml" ContentType="application/vnd.openxmlformats-officedocument.spreadsheetml.pivot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ivotTables/pivotTable13.xml" ContentType="application/vnd.openxmlformats-officedocument.spreadsheetml.pivotTable+xml"/>
  <Override PartName="/xl/drawings/drawing1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18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3d000ef4301ab10/Desktop/Apple_Social_Media_Analytics/"/>
    </mc:Choice>
  </mc:AlternateContent>
  <xr:revisionPtr revIDLastSave="1130" documentId="8_{58EBE917-2FB5-44E3-83ED-FBEC6CDCB8A3}" xr6:coauthVersionLast="47" xr6:coauthVersionMax="47" xr10:uidLastSave="{A3BEC778-A7D9-4765-8503-A1B7C38E0FB1}"/>
  <bookViews>
    <workbookView xWindow="-108" yWindow="-108" windowWidth="23256" windowHeight="13896" firstSheet="15" activeTab="21" xr2:uid="{430D5FBB-16CC-4296-B84E-22BBBE1C61F7}"/>
  </bookViews>
  <sheets>
    <sheet name="EnSheet" sheetId="10" r:id="rId1"/>
    <sheet name="Campaign Sheet" sheetId="29" r:id="rId2"/>
    <sheet name="Task1" sheetId="1" r:id="rId3"/>
    <sheet name="Task2.1" sheetId="2" r:id="rId4"/>
    <sheet name="Task2.2" sheetId="3" r:id="rId5"/>
    <sheet name="Task2.3" sheetId="5" r:id="rId6"/>
    <sheet name="Task2.4" sheetId="8" r:id="rId7"/>
    <sheet name="Task3.1" sheetId="11" r:id="rId8"/>
    <sheet name="Task3.2" sheetId="15" r:id="rId9"/>
    <sheet name="Task3.3" sheetId="17" r:id="rId10"/>
    <sheet name="Task3.4" sheetId="18" r:id="rId11"/>
    <sheet name="Task4.1" sheetId="21" r:id="rId12"/>
    <sheet name="Task4.2" sheetId="22" r:id="rId13"/>
    <sheet name="Task4.3" sheetId="25" r:id="rId14"/>
    <sheet name="Task5.1" sheetId="28" r:id="rId15"/>
    <sheet name="Task5.1 Engagement Uplift" sheetId="34" r:id="rId16"/>
    <sheet name="Task5.1&amp;5.2" sheetId="36" r:id="rId17"/>
    <sheet name="Task6.1" sheetId="35" r:id="rId18"/>
    <sheet name=" Task6.1 Chart" sheetId="39" r:id="rId19"/>
    <sheet name="Task6.2" sheetId="40" r:id="rId20"/>
    <sheet name="Task6.3" sheetId="42" r:id="rId21"/>
    <sheet name="Task6.4" sheetId="41" r:id="rId22"/>
  </sheets>
  <definedNames>
    <definedName name="_xlnm._FilterDatabase" localSheetId="0" hidden="1">EnSheet!$A$1:$H$141</definedName>
    <definedName name="_xlnm._FilterDatabase" localSheetId="15" hidden="1">'Task5.1 Engagement Uplift'!$A$1:$I$141</definedName>
    <definedName name="_xlnm._FilterDatabase" localSheetId="17" hidden="1">Task6.1!$A$1:$I$141</definedName>
    <definedName name="_xlnm._FilterDatabase" localSheetId="19" hidden="1">Task6.2!$A$1:$I$1</definedName>
    <definedName name="_xlnm._FilterDatabase" localSheetId="20" hidden="1">Task6.3!$A$1:$I$141</definedName>
  </definedNames>
  <calcPr calcId="191029"/>
  <pivotCaches>
    <pivotCache cacheId="0" r:id="rId23"/>
    <pivotCache cacheId="1" r:id="rId24"/>
    <pivotCache cacheId="2" r:id="rId25"/>
    <pivotCache cacheId="3" r:id="rId26"/>
    <pivotCache cacheId="4" r:id="rId27"/>
    <pivotCache cacheId="5" r:id="rId28"/>
    <pivotCache cacheId="6" r:id="rId29"/>
    <pivotCache cacheId="7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2" i="42" l="1"/>
  <c r="J133" i="42"/>
  <c r="J134" i="42"/>
  <c r="J135" i="42"/>
  <c r="J136" i="42"/>
  <c r="J137" i="42"/>
  <c r="J138" i="42"/>
  <c r="J139" i="42"/>
  <c r="J140" i="42"/>
  <c r="J141" i="42"/>
  <c r="J112" i="42"/>
  <c r="J113" i="42"/>
  <c r="J114" i="42"/>
  <c r="J115" i="42"/>
  <c r="J116" i="42"/>
  <c r="J117" i="42"/>
  <c r="J118" i="42"/>
  <c r="J119" i="42"/>
  <c r="J120" i="42"/>
  <c r="J121" i="42"/>
  <c r="J122" i="42"/>
  <c r="J123" i="42"/>
  <c r="J124" i="42"/>
  <c r="J125" i="42"/>
  <c r="J126" i="42"/>
  <c r="J127" i="42"/>
  <c r="J128" i="42"/>
  <c r="J129" i="42"/>
  <c r="J130" i="42"/>
  <c r="J131" i="42"/>
  <c r="J111" i="42"/>
  <c r="J108" i="42"/>
  <c r="J89" i="42"/>
  <c r="J90" i="42"/>
  <c r="J91" i="42"/>
  <c r="J92" i="42"/>
  <c r="J93" i="42"/>
  <c r="J94" i="42"/>
  <c r="J95" i="42"/>
  <c r="J96" i="42"/>
  <c r="J97" i="42"/>
  <c r="J98" i="42"/>
  <c r="J99" i="42"/>
  <c r="J100" i="42"/>
  <c r="J101" i="42"/>
  <c r="J102" i="42"/>
  <c r="J103" i="42"/>
  <c r="J104" i="42"/>
  <c r="J105" i="42"/>
  <c r="J106" i="42"/>
  <c r="J107" i="42"/>
  <c r="J75" i="42"/>
  <c r="J76" i="42"/>
  <c r="J77" i="42"/>
  <c r="J78" i="42"/>
  <c r="J79" i="42"/>
  <c r="J80" i="42"/>
  <c r="J81" i="42"/>
  <c r="J82" i="42"/>
  <c r="J83" i="42"/>
  <c r="J84" i="42"/>
  <c r="J85" i="42"/>
  <c r="J86" i="42"/>
  <c r="J87" i="42"/>
  <c r="J88" i="42"/>
  <c r="J74" i="42"/>
  <c r="J70" i="42"/>
  <c r="J71" i="42"/>
  <c r="J55" i="42"/>
  <c r="J56" i="42"/>
  <c r="J57" i="42"/>
  <c r="J58" i="42"/>
  <c r="J59" i="42"/>
  <c r="J60" i="42"/>
  <c r="J61" i="42"/>
  <c r="J62" i="42"/>
  <c r="J63" i="42"/>
  <c r="J64" i="42"/>
  <c r="J65" i="42"/>
  <c r="J66" i="42"/>
  <c r="J67" i="42"/>
  <c r="J68" i="42"/>
  <c r="J69" i="42"/>
  <c r="J39" i="42"/>
  <c r="J40" i="42"/>
  <c r="J41" i="42"/>
  <c r="J42" i="42"/>
  <c r="J43" i="42"/>
  <c r="J44" i="42"/>
  <c r="J45" i="42"/>
  <c r="J46" i="42"/>
  <c r="J47" i="42"/>
  <c r="J48" i="42"/>
  <c r="J49" i="42"/>
  <c r="J50" i="42"/>
  <c r="J51" i="42"/>
  <c r="J52" i="42"/>
  <c r="J53" i="42"/>
  <c r="J54" i="42"/>
  <c r="J38" i="42"/>
  <c r="J34" i="42"/>
  <c r="J35" i="42"/>
  <c r="J25" i="42"/>
  <c r="J26" i="42"/>
  <c r="J27" i="42"/>
  <c r="J28" i="42"/>
  <c r="J29" i="42"/>
  <c r="J30" i="42"/>
  <c r="J31" i="42"/>
  <c r="J32" i="42"/>
  <c r="J33" i="42"/>
  <c r="J5" i="42"/>
  <c r="J6" i="42"/>
  <c r="J7" i="42"/>
  <c r="J8" i="42"/>
  <c r="J9" i="42"/>
  <c r="J10" i="42"/>
  <c r="J11" i="42"/>
  <c r="J12" i="42"/>
  <c r="J13" i="42"/>
  <c r="J14" i="42"/>
  <c r="J15" i="42"/>
  <c r="J16" i="42"/>
  <c r="J17" i="42"/>
  <c r="J18" i="42"/>
  <c r="J19" i="42"/>
  <c r="J20" i="42"/>
  <c r="J21" i="42"/>
  <c r="J22" i="42"/>
  <c r="J23" i="42"/>
  <c r="J24" i="42"/>
  <c r="J4" i="42"/>
  <c r="I108" i="42"/>
  <c r="F108" i="42"/>
  <c r="I71" i="42"/>
  <c r="F71" i="42"/>
  <c r="I35" i="42"/>
  <c r="F35" i="42"/>
  <c r="I34" i="42"/>
  <c r="F34" i="42"/>
  <c r="I141" i="42"/>
  <c r="F141" i="42"/>
  <c r="I70" i="42"/>
  <c r="F70" i="42"/>
  <c r="I107" i="42"/>
  <c r="F107" i="42"/>
  <c r="I69" i="42"/>
  <c r="F69" i="42"/>
  <c r="I106" i="42"/>
  <c r="F106" i="42"/>
  <c r="I33" i="42"/>
  <c r="F33" i="42"/>
  <c r="I68" i="42"/>
  <c r="F68" i="42"/>
  <c r="I32" i="42"/>
  <c r="F32" i="42"/>
  <c r="I105" i="42"/>
  <c r="F105" i="42"/>
  <c r="I67" i="42"/>
  <c r="F67" i="42"/>
  <c r="I140" i="42"/>
  <c r="F140" i="42"/>
  <c r="I66" i="42"/>
  <c r="F66" i="42"/>
  <c r="I139" i="42"/>
  <c r="F139" i="42"/>
  <c r="I31" i="42"/>
  <c r="F31" i="42"/>
  <c r="I104" i="42"/>
  <c r="F104" i="42"/>
  <c r="I138" i="42"/>
  <c r="F138" i="42"/>
  <c r="I65" i="42"/>
  <c r="F65" i="42"/>
  <c r="I30" i="42"/>
  <c r="F30" i="42"/>
  <c r="I64" i="42"/>
  <c r="F64" i="42"/>
  <c r="I63" i="42"/>
  <c r="F63" i="42"/>
  <c r="I137" i="42"/>
  <c r="F137" i="42"/>
  <c r="I29" i="42"/>
  <c r="F29" i="42"/>
  <c r="I103" i="42"/>
  <c r="F103" i="42"/>
  <c r="I102" i="42"/>
  <c r="F102" i="42"/>
  <c r="I62" i="42"/>
  <c r="F62" i="42"/>
  <c r="I136" i="42"/>
  <c r="F136" i="42"/>
  <c r="I135" i="42"/>
  <c r="F135" i="42"/>
  <c r="I28" i="42"/>
  <c r="F28" i="42"/>
  <c r="I27" i="42"/>
  <c r="F27" i="42"/>
  <c r="I61" i="42"/>
  <c r="F61" i="42"/>
  <c r="I101" i="42"/>
  <c r="F101" i="42"/>
  <c r="I100" i="42"/>
  <c r="F100" i="42"/>
  <c r="I60" i="42"/>
  <c r="F60" i="42"/>
  <c r="I99" i="42"/>
  <c r="F99" i="42"/>
  <c r="I134" i="42"/>
  <c r="F134" i="42"/>
  <c r="I26" i="42"/>
  <c r="F26" i="42"/>
  <c r="I98" i="42"/>
  <c r="F98" i="42"/>
  <c r="I59" i="42"/>
  <c r="F59" i="42"/>
  <c r="I133" i="42"/>
  <c r="F133" i="42"/>
  <c r="I97" i="42"/>
  <c r="F97" i="42"/>
  <c r="I132" i="42"/>
  <c r="F132" i="42"/>
  <c r="I96" i="42"/>
  <c r="F96" i="42"/>
  <c r="I25" i="42"/>
  <c r="F25" i="42"/>
  <c r="I58" i="42"/>
  <c r="F58" i="42"/>
  <c r="I131" i="42"/>
  <c r="F131" i="42"/>
  <c r="I95" i="42"/>
  <c r="F95" i="42"/>
  <c r="I57" i="42"/>
  <c r="F57" i="42"/>
  <c r="I94" i="42"/>
  <c r="F94" i="42"/>
  <c r="I24" i="42"/>
  <c r="F24" i="42"/>
  <c r="I56" i="42"/>
  <c r="F56" i="42"/>
  <c r="I130" i="42"/>
  <c r="F130" i="42"/>
  <c r="I23" i="42"/>
  <c r="F23" i="42"/>
  <c r="I55" i="42"/>
  <c r="F55" i="42"/>
  <c r="I93" i="42"/>
  <c r="F93" i="42"/>
  <c r="I54" i="42"/>
  <c r="F54" i="42"/>
  <c r="I22" i="42"/>
  <c r="F22" i="42"/>
  <c r="I53" i="42"/>
  <c r="F53" i="42"/>
  <c r="I129" i="42"/>
  <c r="F129" i="42"/>
  <c r="I21" i="42"/>
  <c r="F21" i="42"/>
  <c r="I92" i="42"/>
  <c r="F92" i="42"/>
  <c r="I128" i="42"/>
  <c r="F128" i="42"/>
  <c r="I52" i="42"/>
  <c r="F52" i="42"/>
  <c r="I20" i="42"/>
  <c r="F20" i="42"/>
  <c r="I127" i="42"/>
  <c r="F127" i="42"/>
  <c r="I51" i="42"/>
  <c r="F51" i="42"/>
  <c r="I19" i="42"/>
  <c r="F19" i="42"/>
  <c r="I50" i="42"/>
  <c r="F50" i="42"/>
  <c r="I91" i="42"/>
  <c r="F91" i="42"/>
  <c r="I18" i="42"/>
  <c r="F18" i="42"/>
  <c r="I126" i="42"/>
  <c r="F126" i="42"/>
  <c r="I49" i="42"/>
  <c r="F49" i="42"/>
  <c r="I90" i="42"/>
  <c r="F90" i="42"/>
  <c r="I48" i="42"/>
  <c r="F48" i="42"/>
  <c r="I125" i="42"/>
  <c r="F125" i="42"/>
  <c r="I89" i="42"/>
  <c r="F89" i="42"/>
  <c r="I47" i="42"/>
  <c r="F47" i="42"/>
  <c r="I124" i="42"/>
  <c r="F124" i="42"/>
  <c r="I123" i="42"/>
  <c r="F123" i="42"/>
  <c r="I17" i="42"/>
  <c r="F17" i="42"/>
  <c r="I122" i="42"/>
  <c r="F122" i="42"/>
  <c r="I88" i="42"/>
  <c r="F88" i="42"/>
  <c r="I16" i="42"/>
  <c r="F16" i="42"/>
  <c r="I121" i="42"/>
  <c r="F121" i="42"/>
  <c r="I46" i="42"/>
  <c r="F46" i="42"/>
  <c r="I87" i="42"/>
  <c r="F87" i="42"/>
  <c r="I15" i="42"/>
  <c r="F15" i="42"/>
  <c r="I86" i="42"/>
  <c r="F86" i="42"/>
  <c r="I14" i="42"/>
  <c r="F14" i="42"/>
  <c r="I85" i="42"/>
  <c r="F85" i="42"/>
  <c r="I45" i="42"/>
  <c r="F45" i="42"/>
  <c r="I120" i="42"/>
  <c r="F120" i="42"/>
  <c r="I44" i="42"/>
  <c r="F44" i="42"/>
  <c r="I119" i="42"/>
  <c r="F119" i="42"/>
  <c r="I13" i="42"/>
  <c r="F13" i="42"/>
  <c r="I43" i="42"/>
  <c r="F43" i="42"/>
  <c r="I84" i="42"/>
  <c r="F84" i="42"/>
  <c r="I12" i="42"/>
  <c r="F12" i="42"/>
  <c r="I118" i="42"/>
  <c r="F118" i="42"/>
  <c r="I11" i="42"/>
  <c r="F11" i="42"/>
  <c r="I83" i="42"/>
  <c r="F83" i="42"/>
  <c r="I42" i="42"/>
  <c r="F42" i="42"/>
  <c r="I117" i="42"/>
  <c r="F117" i="42"/>
  <c r="I10" i="42"/>
  <c r="F10" i="42"/>
  <c r="I116" i="42"/>
  <c r="F116" i="42"/>
  <c r="I9" i="42"/>
  <c r="F9" i="42"/>
  <c r="I82" i="42"/>
  <c r="F82" i="42"/>
  <c r="I41" i="42"/>
  <c r="F41" i="42"/>
  <c r="I115" i="42"/>
  <c r="F115" i="42"/>
  <c r="I81" i="42"/>
  <c r="F81" i="42"/>
  <c r="I8" i="42"/>
  <c r="F8" i="42"/>
  <c r="I80" i="42"/>
  <c r="F80" i="42"/>
  <c r="I114" i="42"/>
  <c r="F114" i="42"/>
  <c r="I40" i="42"/>
  <c r="F40" i="42"/>
  <c r="I113" i="42"/>
  <c r="F113" i="42"/>
  <c r="I79" i="42"/>
  <c r="F79" i="42"/>
  <c r="I39" i="42"/>
  <c r="F39" i="42"/>
  <c r="I112" i="42"/>
  <c r="F112" i="42"/>
  <c r="I78" i="42"/>
  <c r="F78" i="42"/>
  <c r="I7" i="42"/>
  <c r="F7" i="42"/>
  <c r="I38" i="42"/>
  <c r="F38" i="42"/>
  <c r="I77" i="42"/>
  <c r="F77" i="42"/>
  <c r="I6" i="42"/>
  <c r="F6" i="42"/>
  <c r="I76" i="42"/>
  <c r="F76" i="42"/>
  <c r="I37" i="42"/>
  <c r="F37" i="42"/>
  <c r="I111" i="42"/>
  <c r="F111" i="42"/>
  <c r="I5" i="42"/>
  <c r="F5" i="42"/>
  <c r="I75" i="42"/>
  <c r="F75" i="42"/>
  <c r="I36" i="42"/>
  <c r="F36" i="42"/>
  <c r="I74" i="42"/>
  <c r="F74" i="42"/>
  <c r="I4" i="42"/>
  <c r="F4" i="42"/>
  <c r="I73" i="42"/>
  <c r="F73" i="42"/>
  <c r="I110" i="42"/>
  <c r="F110" i="42"/>
  <c r="I3" i="42"/>
  <c r="F3" i="42"/>
  <c r="I109" i="42"/>
  <c r="F109" i="42"/>
  <c r="I72" i="42"/>
  <c r="F72" i="42"/>
  <c r="I2" i="42"/>
  <c r="F2" i="42"/>
  <c r="I141" i="41" l="1"/>
  <c r="F141" i="41"/>
  <c r="I140" i="41"/>
  <c r="F140" i="41"/>
  <c r="I139" i="41"/>
  <c r="F139" i="41"/>
  <c r="I138" i="41"/>
  <c r="F138" i="41"/>
  <c r="I137" i="41"/>
  <c r="F137" i="41"/>
  <c r="I136" i="41"/>
  <c r="F136" i="41"/>
  <c r="I135" i="41"/>
  <c r="F135" i="41"/>
  <c r="I134" i="41"/>
  <c r="F134" i="41"/>
  <c r="I133" i="41"/>
  <c r="F133" i="41"/>
  <c r="I132" i="41"/>
  <c r="F132" i="41"/>
  <c r="I131" i="41"/>
  <c r="F131" i="41"/>
  <c r="I130" i="41"/>
  <c r="F130" i="41"/>
  <c r="I129" i="41"/>
  <c r="F129" i="41"/>
  <c r="I128" i="41"/>
  <c r="F128" i="41"/>
  <c r="I127" i="41"/>
  <c r="F127" i="41"/>
  <c r="I126" i="41"/>
  <c r="F126" i="41"/>
  <c r="I125" i="41"/>
  <c r="F125" i="41"/>
  <c r="I124" i="41"/>
  <c r="F124" i="41"/>
  <c r="I123" i="41"/>
  <c r="F123" i="41"/>
  <c r="I122" i="41"/>
  <c r="F122" i="41"/>
  <c r="I121" i="41"/>
  <c r="F121" i="41"/>
  <c r="I120" i="41"/>
  <c r="F120" i="41"/>
  <c r="I119" i="41"/>
  <c r="F119" i="41"/>
  <c r="I118" i="41"/>
  <c r="F118" i="41"/>
  <c r="I117" i="41"/>
  <c r="F117" i="41"/>
  <c r="I116" i="41"/>
  <c r="F116" i="41"/>
  <c r="I115" i="41"/>
  <c r="F115" i="41"/>
  <c r="I114" i="41"/>
  <c r="F114" i="41"/>
  <c r="I113" i="41"/>
  <c r="F113" i="41"/>
  <c r="I112" i="41"/>
  <c r="F112" i="41"/>
  <c r="I111" i="41"/>
  <c r="F111" i="41"/>
  <c r="I110" i="41"/>
  <c r="F110" i="41"/>
  <c r="I109" i="41"/>
  <c r="F109" i="41"/>
  <c r="I108" i="41"/>
  <c r="F108" i="41"/>
  <c r="I107" i="41"/>
  <c r="F107" i="41"/>
  <c r="I106" i="41"/>
  <c r="F106" i="41"/>
  <c r="I105" i="41"/>
  <c r="F105" i="41"/>
  <c r="I104" i="41"/>
  <c r="F104" i="41"/>
  <c r="I103" i="41"/>
  <c r="F103" i="41"/>
  <c r="I102" i="41"/>
  <c r="F102" i="41"/>
  <c r="I101" i="41"/>
  <c r="F101" i="41"/>
  <c r="I100" i="41"/>
  <c r="F100" i="41"/>
  <c r="I99" i="41"/>
  <c r="F99" i="41"/>
  <c r="I98" i="41"/>
  <c r="F98" i="41"/>
  <c r="I97" i="41"/>
  <c r="F97" i="41"/>
  <c r="I96" i="41"/>
  <c r="F96" i="41"/>
  <c r="I95" i="41"/>
  <c r="F95" i="41"/>
  <c r="I94" i="41"/>
  <c r="F94" i="41"/>
  <c r="I93" i="41"/>
  <c r="F93" i="41"/>
  <c r="I92" i="41"/>
  <c r="F92" i="41"/>
  <c r="I91" i="41"/>
  <c r="F91" i="41"/>
  <c r="I90" i="41"/>
  <c r="F90" i="41"/>
  <c r="I89" i="41"/>
  <c r="F89" i="41"/>
  <c r="I88" i="41"/>
  <c r="F88" i="41"/>
  <c r="I87" i="41"/>
  <c r="F87" i="41"/>
  <c r="I86" i="41"/>
  <c r="F86" i="41"/>
  <c r="I85" i="41"/>
  <c r="F85" i="41"/>
  <c r="I84" i="41"/>
  <c r="F84" i="41"/>
  <c r="I83" i="41"/>
  <c r="F83" i="41"/>
  <c r="I82" i="41"/>
  <c r="F82" i="41"/>
  <c r="I81" i="41"/>
  <c r="F81" i="41"/>
  <c r="I80" i="41"/>
  <c r="F80" i="41"/>
  <c r="I79" i="41"/>
  <c r="F79" i="41"/>
  <c r="I78" i="41"/>
  <c r="F78" i="41"/>
  <c r="I77" i="41"/>
  <c r="F77" i="41"/>
  <c r="I76" i="41"/>
  <c r="F76" i="41"/>
  <c r="I75" i="41"/>
  <c r="F75" i="41"/>
  <c r="I74" i="41"/>
  <c r="F74" i="41"/>
  <c r="I73" i="41"/>
  <c r="F73" i="41"/>
  <c r="I72" i="41"/>
  <c r="F72" i="41"/>
  <c r="I71" i="41"/>
  <c r="F71" i="41"/>
  <c r="I70" i="41"/>
  <c r="F70" i="41"/>
  <c r="I69" i="41"/>
  <c r="F69" i="41"/>
  <c r="I68" i="41"/>
  <c r="F68" i="41"/>
  <c r="I67" i="41"/>
  <c r="F67" i="41"/>
  <c r="I66" i="41"/>
  <c r="F66" i="41"/>
  <c r="I65" i="41"/>
  <c r="F65" i="41"/>
  <c r="I64" i="41"/>
  <c r="F64" i="41"/>
  <c r="I63" i="41"/>
  <c r="F63" i="41"/>
  <c r="I62" i="41"/>
  <c r="F62" i="41"/>
  <c r="I61" i="41"/>
  <c r="F61" i="41"/>
  <c r="I60" i="41"/>
  <c r="F60" i="41"/>
  <c r="I59" i="41"/>
  <c r="F59" i="41"/>
  <c r="I58" i="41"/>
  <c r="F58" i="41"/>
  <c r="I57" i="41"/>
  <c r="F57" i="41"/>
  <c r="I56" i="41"/>
  <c r="F56" i="41"/>
  <c r="I55" i="41"/>
  <c r="F55" i="41"/>
  <c r="I54" i="41"/>
  <c r="F54" i="41"/>
  <c r="I53" i="41"/>
  <c r="F53" i="41"/>
  <c r="I52" i="41"/>
  <c r="F52" i="41"/>
  <c r="I51" i="41"/>
  <c r="F51" i="41"/>
  <c r="I50" i="41"/>
  <c r="F50" i="41"/>
  <c r="I49" i="41"/>
  <c r="F49" i="41"/>
  <c r="I48" i="41"/>
  <c r="F48" i="41"/>
  <c r="I47" i="41"/>
  <c r="F47" i="41"/>
  <c r="I46" i="41"/>
  <c r="F46" i="41"/>
  <c r="I45" i="41"/>
  <c r="F45" i="41"/>
  <c r="I44" i="41"/>
  <c r="F44" i="41"/>
  <c r="I43" i="41"/>
  <c r="F43" i="41"/>
  <c r="I42" i="41"/>
  <c r="F42" i="41"/>
  <c r="I41" i="41"/>
  <c r="F41" i="41"/>
  <c r="I40" i="41"/>
  <c r="F40" i="41"/>
  <c r="I39" i="41"/>
  <c r="F39" i="41"/>
  <c r="I38" i="41"/>
  <c r="F38" i="41"/>
  <c r="I37" i="41"/>
  <c r="F37" i="41"/>
  <c r="I36" i="41"/>
  <c r="F36" i="41"/>
  <c r="I35" i="41"/>
  <c r="F35" i="41"/>
  <c r="I34" i="41"/>
  <c r="F34" i="41"/>
  <c r="I33" i="41"/>
  <c r="F33" i="41"/>
  <c r="I32" i="41"/>
  <c r="F32" i="41"/>
  <c r="I31" i="41"/>
  <c r="F31" i="41"/>
  <c r="I30" i="41"/>
  <c r="F30" i="41"/>
  <c r="I29" i="41"/>
  <c r="F29" i="41"/>
  <c r="I28" i="41"/>
  <c r="F28" i="41"/>
  <c r="I27" i="41"/>
  <c r="F27" i="41"/>
  <c r="I26" i="41"/>
  <c r="F26" i="41"/>
  <c r="I25" i="41"/>
  <c r="F25" i="41"/>
  <c r="I24" i="41"/>
  <c r="F24" i="41"/>
  <c r="I23" i="41"/>
  <c r="F23" i="41"/>
  <c r="I22" i="41"/>
  <c r="F22" i="41"/>
  <c r="I21" i="41"/>
  <c r="F21" i="41"/>
  <c r="I20" i="41"/>
  <c r="F20" i="41"/>
  <c r="I19" i="41"/>
  <c r="F19" i="41"/>
  <c r="I18" i="41"/>
  <c r="F18" i="41"/>
  <c r="I17" i="41"/>
  <c r="F17" i="41"/>
  <c r="I16" i="41"/>
  <c r="F16" i="41"/>
  <c r="I15" i="41"/>
  <c r="F15" i="41"/>
  <c r="I14" i="41"/>
  <c r="F14" i="41"/>
  <c r="I13" i="41"/>
  <c r="F13" i="41"/>
  <c r="I12" i="41"/>
  <c r="F12" i="41"/>
  <c r="I11" i="41"/>
  <c r="F11" i="41"/>
  <c r="I10" i="41"/>
  <c r="F10" i="41"/>
  <c r="I9" i="41"/>
  <c r="F9" i="41"/>
  <c r="I8" i="41"/>
  <c r="F8" i="41"/>
  <c r="I7" i="41"/>
  <c r="F7" i="41"/>
  <c r="I6" i="41"/>
  <c r="F6" i="41"/>
  <c r="I5" i="41"/>
  <c r="F5" i="41"/>
  <c r="I4" i="41"/>
  <c r="F4" i="41"/>
  <c r="I3" i="41"/>
  <c r="F3" i="41"/>
  <c r="I2" i="41"/>
  <c r="F2" i="41"/>
  <c r="I37" i="40"/>
  <c r="F37" i="40"/>
  <c r="I52" i="40"/>
  <c r="F52" i="40"/>
  <c r="I119" i="40"/>
  <c r="F119" i="40"/>
  <c r="I25" i="40"/>
  <c r="F25" i="40"/>
  <c r="I82" i="40"/>
  <c r="F82" i="40"/>
  <c r="I141" i="40"/>
  <c r="F141" i="40"/>
  <c r="I117" i="40"/>
  <c r="F117" i="40"/>
  <c r="I131" i="40"/>
  <c r="F131" i="40"/>
  <c r="I50" i="40"/>
  <c r="F50" i="40"/>
  <c r="I76" i="40"/>
  <c r="F76" i="40"/>
  <c r="I26" i="40"/>
  <c r="F26" i="40"/>
  <c r="I132" i="40"/>
  <c r="F132" i="40"/>
  <c r="I18" i="40"/>
  <c r="F18" i="40"/>
  <c r="I95" i="40"/>
  <c r="F95" i="40"/>
  <c r="I62" i="40"/>
  <c r="F62" i="40"/>
  <c r="I128" i="40"/>
  <c r="F128" i="40"/>
  <c r="I129" i="40"/>
  <c r="F129" i="40"/>
  <c r="I68" i="40"/>
  <c r="F68" i="40"/>
  <c r="I66" i="40"/>
  <c r="F66" i="40"/>
  <c r="I98" i="40"/>
  <c r="F98" i="40"/>
  <c r="I6" i="40"/>
  <c r="F6" i="40"/>
  <c r="I19" i="40"/>
  <c r="F19" i="40"/>
  <c r="I32" i="40"/>
  <c r="F32" i="40"/>
  <c r="I121" i="40"/>
  <c r="F121" i="40"/>
  <c r="I106" i="40"/>
  <c r="F106" i="40"/>
  <c r="I116" i="40"/>
  <c r="F116" i="40"/>
  <c r="I9" i="40"/>
  <c r="F9" i="40"/>
  <c r="I124" i="40"/>
  <c r="F124" i="40"/>
  <c r="I39" i="40"/>
  <c r="F39" i="40"/>
  <c r="I58" i="40"/>
  <c r="F58" i="40"/>
  <c r="I7" i="40"/>
  <c r="F7" i="40"/>
  <c r="I3" i="40"/>
  <c r="F3" i="40"/>
  <c r="I78" i="40"/>
  <c r="F78" i="40"/>
  <c r="I85" i="40"/>
  <c r="F85" i="40"/>
  <c r="I136" i="40"/>
  <c r="F136" i="40"/>
  <c r="I137" i="40"/>
  <c r="F137" i="40"/>
  <c r="I110" i="40"/>
  <c r="F110" i="40"/>
  <c r="I23" i="40"/>
  <c r="F23" i="40"/>
  <c r="I101" i="40"/>
  <c r="F101" i="40"/>
  <c r="I103" i="40"/>
  <c r="F103" i="40"/>
  <c r="I64" i="40"/>
  <c r="F64" i="40"/>
  <c r="I43" i="40"/>
  <c r="F43" i="40"/>
  <c r="I30" i="40"/>
  <c r="F30" i="40"/>
  <c r="I14" i="40"/>
  <c r="F14" i="40"/>
  <c r="I139" i="40"/>
  <c r="F139" i="40"/>
  <c r="I41" i="40"/>
  <c r="F41" i="40"/>
  <c r="I118" i="40"/>
  <c r="F118" i="40"/>
  <c r="I34" i="40"/>
  <c r="F34" i="40"/>
  <c r="I12" i="40"/>
  <c r="F12" i="40"/>
  <c r="I29" i="40"/>
  <c r="F29" i="40"/>
  <c r="I2" i="40"/>
  <c r="F2" i="40"/>
  <c r="I114" i="40"/>
  <c r="F114" i="40"/>
  <c r="I97" i="40"/>
  <c r="F97" i="40"/>
  <c r="I22" i="40"/>
  <c r="F22" i="40"/>
  <c r="I42" i="40"/>
  <c r="F42" i="40"/>
  <c r="I96" i="40"/>
  <c r="F96" i="40"/>
  <c r="I134" i="40"/>
  <c r="F134" i="40"/>
  <c r="I65" i="40"/>
  <c r="F65" i="40"/>
  <c r="I13" i="40"/>
  <c r="F13" i="40"/>
  <c r="I104" i="40"/>
  <c r="F104" i="40"/>
  <c r="I140" i="40"/>
  <c r="F140" i="40"/>
  <c r="I94" i="40"/>
  <c r="F94" i="40"/>
  <c r="I108" i="40"/>
  <c r="F108" i="40"/>
  <c r="I57" i="40"/>
  <c r="F57" i="40"/>
  <c r="I99" i="40"/>
  <c r="F99" i="40"/>
  <c r="I79" i="40"/>
  <c r="F79" i="40"/>
  <c r="I133" i="40"/>
  <c r="F133" i="40"/>
  <c r="I84" i="40"/>
  <c r="F84" i="40"/>
  <c r="I8" i="40"/>
  <c r="F8" i="40"/>
  <c r="I15" i="40"/>
  <c r="F15" i="40"/>
  <c r="I113" i="40"/>
  <c r="F113" i="40"/>
  <c r="I63" i="40"/>
  <c r="F63" i="40"/>
  <c r="I83" i="40"/>
  <c r="F83" i="40"/>
  <c r="I81" i="40"/>
  <c r="F81" i="40"/>
  <c r="I91" i="40"/>
  <c r="F91" i="40"/>
  <c r="I138" i="40"/>
  <c r="F138" i="40"/>
  <c r="I88" i="40"/>
  <c r="F88" i="40"/>
  <c r="I115" i="40"/>
  <c r="F115" i="40"/>
  <c r="I45" i="40"/>
  <c r="F45" i="40"/>
  <c r="I60" i="40"/>
  <c r="F60" i="40"/>
  <c r="I61" i="40"/>
  <c r="F61" i="40"/>
  <c r="I54" i="40"/>
  <c r="F54" i="40"/>
  <c r="I31" i="40"/>
  <c r="F31" i="40"/>
  <c r="I48" i="40"/>
  <c r="F48" i="40"/>
  <c r="I27" i="40"/>
  <c r="F27" i="40"/>
  <c r="I93" i="40"/>
  <c r="F93" i="40"/>
  <c r="I67" i="40"/>
  <c r="F67" i="40"/>
  <c r="I122" i="40"/>
  <c r="F122" i="40"/>
  <c r="I74" i="40"/>
  <c r="F74" i="40"/>
  <c r="I17" i="40"/>
  <c r="F17" i="40"/>
  <c r="I87" i="40"/>
  <c r="F87" i="40"/>
  <c r="I135" i="40"/>
  <c r="F135" i="40"/>
  <c r="I100" i="40"/>
  <c r="F100" i="40"/>
  <c r="I123" i="40"/>
  <c r="F123" i="40"/>
  <c r="I44" i="40"/>
  <c r="F44" i="40"/>
  <c r="I69" i="40"/>
  <c r="F69" i="40"/>
  <c r="I4" i="40"/>
  <c r="F4" i="40"/>
  <c r="I36" i="40"/>
  <c r="F36" i="40"/>
  <c r="I21" i="40"/>
  <c r="F21" i="40"/>
  <c r="I59" i="40"/>
  <c r="F59" i="40"/>
  <c r="I75" i="40"/>
  <c r="F75" i="40"/>
  <c r="I80" i="40"/>
  <c r="F80" i="40"/>
  <c r="I20" i="40"/>
  <c r="F20" i="40"/>
  <c r="I73" i="40"/>
  <c r="F73" i="40"/>
  <c r="I130" i="40"/>
  <c r="F130" i="40"/>
  <c r="I86" i="40"/>
  <c r="F86" i="40"/>
  <c r="I53" i="40"/>
  <c r="F53" i="40"/>
  <c r="I51" i="40"/>
  <c r="F51" i="40"/>
  <c r="I55" i="40"/>
  <c r="F55" i="40"/>
  <c r="I72" i="40"/>
  <c r="F72" i="40"/>
  <c r="I92" i="40"/>
  <c r="F92" i="40"/>
  <c r="I120" i="40"/>
  <c r="F120" i="40"/>
  <c r="I107" i="40"/>
  <c r="F107" i="40"/>
  <c r="I111" i="40"/>
  <c r="F111" i="40"/>
  <c r="I71" i="40"/>
  <c r="F71" i="40"/>
  <c r="I109" i="40"/>
  <c r="F109" i="40"/>
  <c r="I127" i="40"/>
  <c r="F127" i="40"/>
  <c r="I5" i="40"/>
  <c r="F5" i="40"/>
  <c r="I28" i="40"/>
  <c r="F28" i="40"/>
  <c r="I40" i="40"/>
  <c r="F40" i="40"/>
  <c r="I126" i="40"/>
  <c r="F126" i="40"/>
  <c r="I49" i="40"/>
  <c r="F49" i="40"/>
  <c r="I105" i="40"/>
  <c r="F105" i="40"/>
  <c r="I125" i="40"/>
  <c r="F125" i="40"/>
  <c r="I47" i="40"/>
  <c r="F47" i="40"/>
  <c r="I112" i="40"/>
  <c r="F112" i="40"/>
  <c r="I16" i="40"/>
  <c r="F16" i="40"/>
  <c r="I77" i="40"/>
  <c r="F77" i="40"/>
  <c r="I11" i="40"/>
  <c r="F11" i="40"/>
  <c r="I90" i="40"/>
  <c r="F90" i="40"/>
  <c r="I10" i="40"/>
  <c r="F10" i="40"/>
  <c r="I56" i="40"/>
  <c r="F56" i="40"/>
  <c r="I70" i="40"/>
  <c r="F70" i="40"/>
  <c r="I35" i="40"/>
  <c r="F35" i="40"/>
  <c r="I89" i="40"/>
  <c r="F89" i="40"/>
  <c r="I33" i="40"/>
  <c r="F33" i="40"/>
  <c r="I46" i="40"/>
  <c r="F46" i="40"/>
  <c r="I24" i="40"/>
  <c r="F24" i="40"/>
  <c r="I38" i="40"/>
  <c r="F38" i="40"/>
  <c r="I102" i="40"/>
  <c r="F102" i="40"/>
  <c r="I132" i="35"/>
  <c r="I133" i="35"/>
  <c r="I134" i="35"/>
  <c r="I135" i="35"/>
  <c r="I136" i="35"/>
  <c r="I137" i="35"/>
  <c r="I138" i="35"/>
  <c r="I139" i="35"/>
  <c r="I140" i="35"/>
  <c r="I141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3" i="35"/>
  <c r="I4" i="35"/>
  <c r="I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" i="35"/>
  <c r="F141" i="35"/>
  <c r="F140" i="35"/>
  <c r="F139" i="35"/>
  <c r="F138" i="35"/>
  <c r="F137" i="35"/>
  <c r="F136" i="35"/>
  <c r="F135" i="35"/>
  <c r="F134" i="35"/>
  <c r="F133" i="35"/>
  <c r="F132" i="35"/>
  <c r="F131" i="35"/>
  <c r="F130" i="35"/>
  <c r="F129" i="35"/>
  <c r="F128" i="35"/>
  <c r="F127" i="35"/>
  <c r="F126" i="35"/>
  <c r="F125" i="35"/>
  <c r="F124" i="35"/>
  <c r="F123" i="35"/>
  <c r="F122" i="35"/>
  <c r="F121" i="35"/>
  <c r="F120" i="35"/>
  <c r="F119" i="35"/>
  <c r="F118" i="35"/>
  <c r="F117" i="35"/>
  <c r="F116" i="35"/>
  <c r="F115" i="35"/>
  <c r="F114" i="35"/>
  <c r="F113" i="35"/>
  <c r="F112" i="35"/>
  <c r="F111" i="35"/>
  <c r="F110" i="35"/>
  <c r="F109" i="35"/>
  <c r="F108" i="35"/>
  <c r="F107" i="35"/>
  <c r="F106" i="35"/>
  <c r="F105" i="35"/>
  <c r="F104" i="35"/>
  <c r="F103" i="35"/>
  <c r="F102" i="35"/>
  <c r="F101" i="35"/>
  <c r="F100" i="35"/>
  <c r="F99" i="35"/>
  <c r="F98" i="35"/>
  <c r="F97" i="35"/>
  <c r="F96" i="35"/>
  <c r="F95" i="35"/>
  <c r="F94" i="35"/>
  <c r="F93" i="35"/>
  <c r="F92" i="35"/>
  <c r="F91" i="35"/>
  <c r="F90" i="35"/>
  <c r="F89" i="35"/>
  <c r="F88" i="35"/>
  <c r="F87" i="35"/>
  <c r="F86" i="35"/>
  <c r="F85" i="35"/>
  <c r="F84" i="35"/>
  <c r="F83" i="35"/>
  <c r="F82" i="35"/>
  <c r="F81" i="35"/>
  <c r="F80" i="35"/>
  <c r="F79" i="35"/>
  <c r="F78" i="35"/>
  <c r="F77" i="35"/>
  <c r="F76" i="35"/>
  <c r="F75" i="35"/>
  <c r="F74" i="35"/>
  <c r="F73" i="35"/>
  <c r="F72" i="35"/>
  <c r="F71" i="35"/>
  <c r="F70" i="35"/>
  <c r="F69" i="35"/>
  <c r="F68" i="35"/>
  <c r="F67" i="35"/>
  <c r="F66" i="35"/>
  <c r="F65" i="35"/>
  <c r="F64" i="35"/>
  <c r="F63" i="35"/>
  <c r="F62" i="35"/>
  <c r="F61" i="35"/>
  <c r="F60" i="35"/>
  <c r="F59" i="35"/>
  <c r="F58" i="35"/>
  <c r="F57" i="35"/>
  <c r="F56" i="35"/>
  <c r="F55" i="35"/>
  <c r="F54" i="35"/>
  <c r="F53" i="35"/>
  <c r="F52" i="35"/>
  <c r="F51" i="35"/>
  <c r="F50" i="35"/>
  <c r="F49" i="35"/>
  <c r="F48" i="35"/>
  <c r="F47" i="35"/>
  <c r="F46" i="35"/>
  <c r="F45" i="35"/>
  <c r="F44" i="35"/>
  <c r="F43" i="35"/>
  <c r="F42" i="35"/>
  <c r="F41" i="35"/>
  <c r="F40" i="35"/>
  <c r="F39" i="35"/>
  <c r="F38" i="35"/>
  <c r="F37" i="35"/>
  <c r="F36" i="35"/>
  <c r="F35" i="35"/>
  <c r="F34" i="35"/>
  <c r="F33" i="35"/>
  <c r="F32" i="35"/>
  <c r="F31" i="35"/>
  <c r="F30" i="35"/>
  <c r="F29" i="35"/>
  <c r="F28" i="35"/>
  <c r="F27" i="35"/>
  <c r="F26" i="35"/>
  <c r="F25" i="35"/>
  <c r="F24" i="35"/>
  <c r="F23" i="35"/>
  <c r="F22" i="35"/>
  <c r="F21" i="35"/>
  <c r="F20" i="35"/>
  <c r="F19" i="35"/>
  <c r="F18" i="35"/>
  <c r="F17" i="35"/>
  <c r="F16" i="35"/>
  <c r="F15" i="35"/>
  <c r="F14" i="35"/>
  <c r="F13" i="35"/>
  <c r="F12" i="35"/>
  <c r="F11" i="35"/>
  <c r="F10" i="35"/>
  <c r="F9" i="35"/>
  <c r="F8" i="35"/>
  <c r="F7" i="35"/>
  <c r="F6" i="35"/>
  <c r="F5" i="35"/>
  <c r="F4" i="35"/>
  <c r="F3" i="35"/>
  <c r="F2" i="35"/>
  <c r="E18" i="36"/>
  <c r="E14" i="36"/>
  <c r="E9" i="36"/>
  <c r="E4" i="36"/>
  <c r="F141" i="34"/>
  <c r="F140" i="34"/>
  <c r="F139" i="34"/>
  <c r="F138" i="34"/>
  <c r="F137" i="34"/>
  <c r="F136" i="34"/>
  <c r="F135" i="34"/>
  <c r="F134" i="34"/>
  <c r="F133" i="34"/>
  <c r="F132" i="34"/>
  <c r="F131" i="34"/>
  <c r="F130" i="34"/>
  <c r="F129" i="34"/>
  <c r="F128" i="34"/>
  <c r="F127" i="34"/>
  <c r="F126" i="34"/>
  <c r="F125" i="34"/>
  <c r="F124" i="34"/>
  <c r="F123" i="34"/>
  <c r="F122" i="34"/>
  <c r="F121" i="34"/>
  <c r="F120" i="34"/>
  <c r="F119" i="34"/>
  <c r="F118" i="34"/>
  <c r="F117" i="34"/>
  <c r="F116" i="34"/>
  <c r="F115" i="34"/>
  <c r="F114" i="34"/>
  <c r="F113" i="34"/>
  <c r="F112" i="34"/>
  <c r="F111" i="34"/>
  <c r="F110" i="34"/>
  <c r="F109" i="34"/>
  <c r="F108" i="34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93" i="34"/>
  <c r="F92" i="34"/>
  <c r="F91" i="34"/>
  <c r="F90" i="34"/>
  <c r="F89" i="34"/>
  <c r="F88" i="34"/>
  <c r="F87" i="34"/>
  <c r="F86" i="34"/>
  <c r="F85" i="34"/>
  <c r="F84" i="34"/>
  <c r="F83" i="34"/>
  <c r="F82" i="34"/>
  <c r="F81" i="34"/>
  <c r="F80" i="34"/>
  <c r="F79" i="34"/>
  <c r="F78" i="34"/>
  <c r="F77" i="34"/>
  <c r="F76" i="34"/>
  <c r="F75" i="34"/>
  <c r="F74" i="34"/>
  <c r="F73" i="34"/>
  <c r="F72" i="34"/>
  <c r="F71" i="34"/>
  <c r="F70" i="34"/>
  <c r="F69" i="34"/>
  <c r="F68" i="34"/>
  <c r="F67" i="34"/>
  <c r="F66" i="34"/>
  <c r="F65" i="34"/>
  <c r="F64" i="34"/>
  <c r="F63" i="34"/>
  <c r="F62" i="34"/>
  <c r="F61" i="34"/>
  <c r="F60" i="34"/>
  <c r="F59" i="34"/>
  <c r="F58" i="34"/>
  <c r="F57" i="34"/>
  <c r="F56" i="34"/>
  <c r="F55" i="34"/>
  <c r="F54" i="34"/>
  <c r="F53" i="34"/>
  <c r="F52" i="34"/>
  <c r="F51" i="34"/>
  <c r="F50" i="34"/>
  <c r="F49" i="34"/>
  <c r="F48" i="34"/>
  <c r="F47" i="34"/>
  <c r="F46" i="34"/>
  <c r="F45" i="34"/>
  <c r="F44" i="34"/>
  <c r="F43" i="34"/>
  <c r="F42" i="34"/>
  <c r="F41" i="34"/>
  <c r="F40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24" i="34"/>
  <c r="F23" i="34"/>
  <c r="F22" i="34"/>
  <c r="F21" i="34"/>
  <c r="F20" i="34"/>
  <c r="F19" i="34"/>
  <c r="F18" i="34"/>
  <c r="F17" i="34"/>
  <c r="F16" i="34"/>
  <c r="F15" i="34"/>
  <c r="F14" i="34"/>
  <c r="F13" i="34"/>
  <c r="F12" i="34"/>
  <c r="F11" i="34"/>
  <c r="F10" i="34"/>
  <c r="F9" i="34"/>
  <c r="F8" i="34"/>
  <c r="F7" i="34"/>
  <c r="F6" i="34"/>
  <c r="F5" i="34"/>
  <c r="F4" i="34"/>
  <c r="F3" i="34"/>
  <c r="F2" i="34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" i="10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293" i="1"/>
  <c r="N294" i="1"/>
  <c r="N295" i="1"/>
  <c r="N296" i="1"/>
  <c r="N297" i="1"/>
  <c r="N298" i="1"/>
  <c r="N299" i="1"/>
  <c r="N300" i="1"/>
  <c r="N301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" i="1"/>
</calcChain>
</file>

<file path=xl/sharedStrings.xml><?xml version="1.0" encoding="utf-8"?>
<sst xmlns="http://schemas.openxmlformats.org/spreadsheetml/2006/main" count="6122" uniqueCount="590">
  <si>
    <t>PostID</t>
  </si>
  <si>
    <t>Platform</t>
  </si>
  <si>
    <t>Date</t>
  </si>
  <si>
    <t>ContentType</t>
  </si>
  <si>
    <t>Hashtag1</t>
  </si>
  <si>
    <t>Hashtag2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</si>
  <si>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</si>
  <si>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</si>
  <si>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</si>
  <si>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</si>
  <si>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</si>
  <si>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</si>
  <si>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</si>
  <si>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</si>
  <si>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</si>
  <si>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2024-12-23</t>
  </si>
  <si>
    <t>Image</t>
  </si>
  <si>
    <t xml:space="preserve">AppleWatchUltra2 </t>
  </si>
  <si>
    <t>HealthTech</t>
  </si>
  <si>
    <t>Apple Watch Ultra 2 Launch</t>
  </si>
  <si>
    <t>A2</t>
  </si>
  <si>
    <t>LinkedIn</t>
  </si>
  <si>
    <t xml:space="preserve">MacBookAirM3 </t>
  </si>
  <si>
    <t>AppleInnovation</t>
  </si>
  <si>
    <t>Apple Event September 2025</t>
  </si>
  <si>
    <t>A3</t>
  </si>
  <si>
    <t>Instagram</t>
  </si>
  <si>
    <t>2025-05-12</t>
  </si>
  <si>
    <t>Tweet</t>
  </si>
  <si>
    <t xml:space="preserve">AppleDesign </t>
  </si>
  <si>
    <t>Innovation</t>
  </si>
  <si>
    <t>Sustainability Awareness Drive</t>
  </si>
  <si>
    <t>A4</t>
  </si>
  <si>
    <t>2024-08-12</t>
  </si>
  <si>
    <t>Video</t>
  </si>
  <si>
    <t xml:space="preserve">AppleEvent </t>
  </si>
  <si>
    <t>iPadPro</t>
  </si>
  <si>
    <t>iPhone 16 Launch</t>
  </si>
  <si>
    <t>A5</t>
  </si>
  <si>
    <t>A6</t>
  </si>
  <si>
    <t>ShotOniPhone</t>
  </si>
  <si>
    <t>A7</t>
  </si>
  <si>
    <t>2024-06-24</t>
  </si>
  <si>
    <t>Carousel</t>
  </si>
  <si>
    <t xml:space="preserve">AppleMusic </t>
  </si>
  <si>
    <t>AppleLifestyle</t>
  </si>
  <si>
    <t>A8</t>
  </si>
  <si>
    <t>2024-07-13</t>
  </si>
  <si>
    <t xml:space="preserve">AppleWatch </t>
  </si>
  <si>
    <t>Health</t>
  </si>
  <si>
    <t>A9</t>
  </si>
  <si>
    <t>2024-08-30</t>
  </si>
  <si>
    <t>A10</t>
  </si>
  <si>
    <t>Twitter</t>
  </si>
  <si>
    <t>2025-03-11</t>
  </si>
  <si>
    <t xml:space="preserve">iPhone16Launch </t>
  </si>
  <si>
    <t>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</si>
  <si>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</si>
  <si>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</si>
  <si>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</si>
  <si>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</si>
  <si>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</si>
  <si>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</si>
  <si>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</si>
  <si>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</si>
  <si>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</si>
  <si>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</si>
  <si>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</si>
  <si>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</si>
  <si>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</si>
  <si>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iPhone16</t>
  </si>
  <si>
    <t>A18</t>
  </si>
  <si>
    <t>2024-08-19</t>
  </si>
  <si>
    <t>A19</t>
  </si>
  <si>
    <t>2024-06-23</t>
  </si>
  <si>
    <t>A20</t>
  </si>
  <si>
    <t>2024-09-09</t>
  </si>
  <si>
    <t>A21</t>
  </si>
  <si>
    <t xml:space="preserve">iPhonePhotography 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</si>
  <si>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</si>
  <si>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</si>
  <si>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</si>
  <si>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</si>
  <si>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</si>
  <si>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</si>
  <si>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</si>
  <si>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</si>
  <si>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</si>
  <si>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</si>
  <si>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</si>
  <si>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</si>
  <si>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</si>
  <si>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</si>
  <si>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</si>
  <si>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</si>
  <si>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</si>
  <si>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</si>
  <si>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</si>
  <si>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</si>
  <si>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</si>
  <si>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</si>
  <si>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</si>
  <si>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</si>
  <si>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</si>
  <si>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</si>
  <si>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</si>
  <si>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</si>
  <si>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</si>
  <si>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</si>
  <si>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</si>
  <si>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</si>
  <si>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</si>
  <si>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</si>
  <si>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</si>
  <si>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</si>
  <si>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</si>
  <si>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</si>
  <si>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</si>
  <si>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</si>
  <si>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</si>
  <si>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</si>
  <si>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</si>
  <si>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</si>
  <si>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</si>
  <si>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</si>
  <si>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</si>
  <si>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</si>
  <si>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</si>
  <si>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</si>
  <si>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</si>
  <si>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</si>
  <si>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</si>
  <si>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</si>
  <si>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</si>
  <si>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</si>
  <si>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</si>
  <si>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</si>
  <si>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</si>
  <si>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</si>
  <si>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</si>
  <si>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</si>
  <si>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</si>
  <si>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</si>
  <si>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</si>
  <si>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</si>
  <si>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</si>
  <si>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</si>
  <si>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</si>
  <si>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</si>
  <si>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</si>
  <si>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</si>
  <si>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</si>
  <si>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</si>
  <si>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</si>
  <si>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</si>
  <si>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</si>
  <si>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</si>
  <si>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</si>
  <si>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</si>
  <si>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</si>
  <si>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</si>
  <si>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</si>
  <si>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</si>
  <si>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</si>
  <si>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</si>
  <si>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</si>
  <si>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</si>
  <si>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</si>
  <si>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</si>
  <si>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</si>
  <si>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</si>
  <si>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</si>
  <si>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</si>
  <si>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</si>
  <si>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</si>
  <si>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</si>
  <si>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</si>
  <si>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 xml:space="preserve">Sustainability </t>
  </si>
  <si>
    <t>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</si>
  <si>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</si>
  <si>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</si>
  <si>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</si>
  <si>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</si>
  <si>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</si>
  <si>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</si>
  <si>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</si>
  <si>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</si>
  <si>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</si>
  <si>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</si>
  <si>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</si>
  <si>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</si>
  <si>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</si>
  <si>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</si>
  <si>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</si>
  <si>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</si>
  <si>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</si>
  <si>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</si>
  <si>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</si>
  <si>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</si>
  <si>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</si>
  <si>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</si>
  <si>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</si>
  <si>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</si>
  <si>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</si>
  <si>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</si>
  <si>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</si>
  <si>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</si>
  <si>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</si>
  <si>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</si>
  <si>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</si>
  <si>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</si>
  <si>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</si>
  <si>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</si>
  <si>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</si>
  <si>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</si>
  <si>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</si>
  <si>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</si>
  <si>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</si>
  <si>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</si>
  <si>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</si>
  <si>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</si>
  <si>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</si>
  <si>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</si>
  <si>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</si>
  <si>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</si>
  <si>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</si>
  <si>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</si>
  <si>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</si>
  <si>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</si>
  <si>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</si>
  <si>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</si>
  <si>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</si>
  <si>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</si>
  <si>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</si>
  <si>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</si>
  <si>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</si>
  <si>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</si>
  <si>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</si>
  <si>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</si>
  <si>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</si>
  <si>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</si>
  <si>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</si>
  <si>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</si>
  <si>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</si>
  <si>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</si>
  <si>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</si>
  <si>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</si>
  <si>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</si>
  <si>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</si>
  <si>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</si>
  <si>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</si>
  <si>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</si>
  <si>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</si>
  <si>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</si>
  <si>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</si>
  <si>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</si>
  <si>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</si>
  <si>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</si>
  <si>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</si>
  <si>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</si>
  <si>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</si>
  <si>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</si>
  <si>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</si>
  <si>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</si>
  <si>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</si>
  <si>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</si>
  <si>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</si>
  <si>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</si>
  <si>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</si>
  <si>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</si>
  <si>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</si>
  <si>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</si>
  <si>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</si>
  <si>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</si>
  <si>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</si>
  <si>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</si>
  <si>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</si>
  <si>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</si>
  <si>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</si>
  <si>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</si>
  <si>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</si>
  <si>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</si>
  <si>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</si>
  <si>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</si>
  <si>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</si>
  <si>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</si>
  <si>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</si>
  <si>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</si>
  <si>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</si>
  <si>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</si>
  <si>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</si>
  <si>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</si>
  <si>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</si>
  <si>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</si>
  <si>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</si>
  <si>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</si>
  <si>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</si>
  <si>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</si>
  <si>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</si>
  <si>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</si>
  <si>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</si>
  <si>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</si>
  <si>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</si>
  <si>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</si>
  <si>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</si>
  <si>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</si>
  <si>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</si>
  <si>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</si>
  <si>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</si>
  <si>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</si>
  <si>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</si>
  <si>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</si>
  <si>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</si>
  <si>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</si>
  <si>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</si>
  <si>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</si>
  <si>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</si>
  <si>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</si>
  <si>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</si>
  <si>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</si>
  <si>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</si>
  <si>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</si>
  <si>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</si>
  <si>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</si>
  <si>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</si>
  <si>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</si>
  <si>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</si>
  <si>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</si>
  <si>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</si>
  <si>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</si>
  <si>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</si>
  <si>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</si>
  <si>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</si>
  <si>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</si>
  <si>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</si>
  <si>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</si>
  <si>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</si>
  <si>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</si>
  <si>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</si>
  <si>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</si>
  <si>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</si>
  <si>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</si>
  <si>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</si>
  <si>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</si>
  <si>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</si>
  <si>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</si>
  <si>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</si>
  <si>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</si>
  <si>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</si>
  <si>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</si>
  <si>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</si>
  <si>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</si>
  <si>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</si>
  <si>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</si>
  <si>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</si>
  <si>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</si>
  <si>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</si>
  <si>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</si>
  <si>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</si>
  <si>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</si>
  <si>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</si>
  <si>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</si>
  <si>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</si>
  <si>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</si>
  <si>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</si>
  <si>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</si>
  <si>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</si>
  <si>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</si>
  <si>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</si>
  <si>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</si>
  <si>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</si>
  <si>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</si>
  <si>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</si>
  <si>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</si>
  <si>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</si>
  <si>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</si>
  <si>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</si>
  <si>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</si>
  <si>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</si>
  <si>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</si>
  <si>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</si>
  <si>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</si>
  <si>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</si>
  <si>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</si>
  <si>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</si>
  <si>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</si>
  <si>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</si>
  <si>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</si>
  <si>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</si>
  <si>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</si>
  <si>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</si>
  <si>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</si>
  <si>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</si>
  <si>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</si>
  <si>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</si>
  <si>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</si>
  <si>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</si>
  <si>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</si>
  <si>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</si>
  <si>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</si>
  <si>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</si>
  <si>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</si>
  <si>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</si>
  <si>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</si>
  <si>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</si>
  <si>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</si>
  <si>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</si>
  <si>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</si>
  <si>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</si>
  <si>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</si>
  <si>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</si>
  <si>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</si>
  <si>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</si>
  <si>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</si>
  <si>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</si>
  <si>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</si>
  <si>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</si>
  <si>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</si>
  <si>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</si>
  <si>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</si>
  <si>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</si>
  <si>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</si>
  <si>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</si>
  <si>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</si>
  <si>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</si>
  <si>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</si>
  <si>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</si>
  <si>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</si>
  <si>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</si>
  <si>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</si>
  <si>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</si>
  <si>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</si>
  <si>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</si>
  <si>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</si>
  <si>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</si>
  <si>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</si>
  <si>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</si>
  <si>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</si>
  <si>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</si>
  <si>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</si>
  <si>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</si>
  <si>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</si>
  <si>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</si>
  <si>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</si>
  <si>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</si>
  <si>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</si>
  <si>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</si>
  <si>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</si>
  <si>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</si>
  <si>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</si>
  <si>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</si>
  <si>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</si>
  <si>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</si>
  <si>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</si>
  <si>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</si>
  <si>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</si>
  <si>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</si>
  <si>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</si>
  <si>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</si>
  <si>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</si>
  <si>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</si>
  <si>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</si>
  <si>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</si>
  <si>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</si>
  <si>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</si>
  <si>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</si>
  <si>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</si>
  <si>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</si>
  <si>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</si>
  <si>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</si>
  <si>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</si>
  <si>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</si>
  <si>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</si>
  <si>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</si>
  <si>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</si>
  <si>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</si>
  <si>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</si>
  <si>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</si>
  <si>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</si>
  <si>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</si>
  <si>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</si>
  <si>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</si>
  <si>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</si>
  <si>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</si>
  <si>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</si>
  <si>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</si>
  <si>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</si>
  <si>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</si>
  <si>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</si>
  <si>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</si>
  <si>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</si>
  <si>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</si>
  <si>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</si>
  <si>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</si>
  <si>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</si>
  <si>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</si>
  <si>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</si>
  <si>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</si>
  <si>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</si>
  <si>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</si>
  <si>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</si>
  <si>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</si>
  <si>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</si>
  <si>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</si>
  <si>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</si>
  <si>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</si>
  <si>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</si>
  <si>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</si>
  <si>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</si>
  <si>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</si>
  <si>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</si>
  <si>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</si>
  <si>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</si>
  <si>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Engagement Rate</t>
  </si>
  <si>
    <t>Row Labels</t>
  </si>
  <si>
    <t>(blank)</t>
  </si>
  <si>
    <t>Grand Total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</si>
  <si>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</si>
  <si>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</si>
  <si>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</si>
  <si>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</si>
  <si>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</si>
  <si>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</si>
  <si>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</si>
  <si>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Sum of Clicks</t>
  </si>
  <si>
    <t>Average of Clicks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</si>
  <si>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</si>
  <si>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</si>
  <si>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</si>
  <si>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</si>
  <si>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</si>
  <si>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</si>
  <si>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</si>
  <si>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</si>
  <si>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</si>
  <si>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</si>
  <si>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</si>
  <si>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</si>
  <si>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</si>
  <si>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</si>
  <si>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</si>
  <si>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</si>
  <si>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</si>
  <si>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</si>
  <si>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</si>
  <si>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</si>
  <si>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</si>
  <si>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</si>
  <si>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</si>
  <si>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</si>
  <si>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Average of Correct Eg_rate</t>
  </si>
  <si>
    <t>Follower Growth Rate</t>
  </si>
  <si>
    <t>Average of Follower Growth Rate</t>
  </si>
  <si>
    <t>Average of Ad_Spend</t>
  </si>
  <si>
    <t>Count of Hashtag2</t>
  </si>
  <si>
    <t>Count of Hashtag1</t>
  </si>
  <si>
    <t>Average of Engagement Rate</t>
  </si>
  <si>
    <t>Average of Likes</t>
  </si>
  <si>
    <t>Sum of Impressions</t>
  </si>
  <si>
    <t>Average of Impressions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</si>
  <si>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</si>
  <si>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</si>
  <si>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</si>
  <si>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</si>
  <si>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</si>
  <si>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</si>
  <si>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</si>
  <si>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</si>
  <si>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</si>
  <si>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</si>
  <si>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</si>
  <si>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</si>
  <si>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</si>
  <si>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</si>
  <si>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</si>
  <si>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Campaign Period</t>
  </si>
  <si>
    <t>During Iphone16</t>
  </si>
  <si>
    <t>Before Iphone16</t>
  </si>
  <si>
    <t>During Macbook</t>
  </si>
  <si>
    <t>Before Macbook</t>
  </si>
  <si>
    <t>During AppleWatch</t>
  </si>
  <si>
    <t>Before AppleWatch</t>
  </si>
  <si>
    <t>During Sustainability</t>
  </si>
  <si>
    <t>Before Sustainability</t>
  </si>
  <si>
    <t>Average of Engagement_Rate</t>
  </si>
  <si>
    <t>Uplift</t>
  </si>
  <si>
    <t>Duirng Macbook</t>
  </si>
  <si>
    <t>Net_New_Followers</t>
  </si>
  <si>
    <t>Sum of Net_New_Followers</t>
  </si>
  <si>
    <t>3 Week Moving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</si>
</sst>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"/>
    <numFmt numFmtId="165" formatCode="&quot;₹&quot;\ #,##0.00"/>
    <numFmt numFmtId="166" formatCode="yyyy\-mm\-dd\ hh:mm:ss"/>
    <numFmt numFmtId="167" formatCode="yyyy\-mm\-dd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B05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4" fillId="0" borderId="1" xfId="0" applyFont="1" applyBorder="1" applyAlignment="1">
      <alignment horizontal="center" vertical="top"/>
    </xf>
    <xf numFmtId="4" fontId="4" fillId="0" borderId="1" xfId="0" applyNumberFormat="1" applyFont="1" applyBorder="1" applyAlignment="1">
      <alignment horizontal="center" vertical="top"/>
    </xf>
    <xf numFmtId="4" fontId="4" fillId="0" borderId="2" xfId="0" applyNumberFormat="1" applyFont="1" applyBorder="1" applyAlignment="1">
      <alignment vertical="top"/>
    </xf>
    <xf numFmtId="0" fontId="1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 wrapText="1"/>
    </xf>
    <xf numFmtId="4" fontId="1" fillId="0" borderId="0" xfId="0" applyNumberFormat="1" applyFont="1"/>
    <xf numFmtId="0" fontId="4" fillId="0" borderId="3" xfId="0" applyFont="1" applyBorder="1" applyAlignment="1">
      <alignment vertical="top"/>
    </xf>
    <xf numFmtId="4" fontId="4" fillId="0" borderId="3" xfId="0" applyNumberFormat="1" applyFont="1" applyBorder="1" applyAlignment="1">
      <alignment vertical="top"/>
    </xf>
    <xf numFmtId="0" fontId="1" fillId="0" borderId="0" xfId="0" applyFont="1"/>
    <xf numFmtId="0" fontId="6" fillId="2" borderId="1" xfId="0" applyFont="1" applyFill="1" applyBorder="1" applyAlignment="1">
      <alignment horizontal="center" vertical="top"/>
    </xf>
    <xf numFmtId="164" fontId="6" fillId="2" borderId="1" xfId="0" applyNumberFormat="1" applyFont="1" applyFill="1" applyBorder="1" applyAlignment="1">
      <alignment horizontal="center" vertical="top"/>
    </xf>
    <xf numFmtId="4" fontId="6" fillId="2" borderId="1" xfId="0" applyNumberFormat="1" applyFont="1" applyFill="1" applyBorder="1" applyAlignment="1">
      <alignment horizontal="center" vertical="top"/>
    </xf>
    <xf numFmtId="4" fontId="6" fillId="2" borderId="1" xfId="0" applyNumberFormat="1" applyFont="1" applyFill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/>
    </xf>
    <xf numFmtId="1" fontId="6" fillId="2" borderId="1" xfId="0" applyNumberFormat="1" applyFont="1" applyFill="1" applyBorder="1" applyAlignment="1">
      <alignment horizontal="center" vertical="top"/>
    </xf>
    <xf numFmtId="3" fontId="6" fillId="2" borderId="1" xfId="0" applyNumberFormat="1" applyFont="1" applyFill="1" applyBorder="1" applyAlignment="1">
      <alignment horizontal="center" vertical="top"/>
    </xf>
    <xf numFmtId="3" fontId="1" fillId="0" borderId="1" xfId="0" applyNumberFormat="1" applyFont="1" applyBorder="1" applyAlignment="1">
      <alignment horizontal="center"/>
    </xf>
    <xf numFmtId="3" fontId="6" fillId="2" borderId="1" xfId="0" applyNumberFormat="1" applyFont="1" applyFill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3" fillId="3" borderId="4" xfId="0" applyFont="1" applyFill="1" applyBorder="1"/>
    <xf numFmtId="1" fontId="0" fillId="0" borderId="0" xfId="0" applyNumberFormat="1"/>
    <xf numFmtId="3" fontId="0" fillId="0" borderId="0" xfId="0" applyNumberFormat="1"/>
    <xf numFmtId="3" fontId="0" fillId="0" borderId="0" xfId="0" pivotButton="1" applyNumberFormat="1"/>
    <xf numFmtId="3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2" fillId="0" borderId="0" xfId="0" applyFont="1" applyAlignment="1">
      <alignment horizontal="left"/>
    </xf>
    <xf numFmtId="3" fontId="2" fillId="0" borderId="0" xfId="0" applyNumberFormat="1" applyFont="1"/>
    <xf numFmtId="0" fontId="2" fillId="0" borderId="0" xfId="0" applyFont="1" applyAlignment="1">
      <alignment horizontal="left" indent="1"/>
    </xf>
    <xf numFmtId="164" fontId="4" fillId="0" borderId="5" xfId="0" applyNumberFormat="1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4" fontId="4" fillId="0" borderId="5" xfId="0" applyNumberFormat="1" applyFont="1" applyBorder="1" applyAlignment="1">
      <alignment horizontal="center" vertical="top"/>
    </xf>
    <xf numFmtId="10" fontId="4" fillId="0" borderId="5" xfId="0" applyNumberFormat="1" applyFont="1" applyBorder="1" applyAlignment="1">
      <alignment horizontal="center" vertical="top"/>
    </xf>
    <xf numFmtId="165" fontId="4" fillId="0" borderId="5" xfId="0" applyNumberFormat="1" applyFont="1" applyBorder="1" applyAlignment="1">
      <alignment horizontal="center" vertical="top"/>
    </xf>
    <xf numFmtId="164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10" fontId="0" fillId="0" borderId="0" xfId="0" applyNumberFormat="1"/>
    <xf numFmtId="10" fontId="2" fillId="4" borderId="0" xfId="0" applyNumberFormat="1" applyFont="1" applyFill="1"/>
    <xf numFmtId="0" fontId="2" fillId="4" borderId="0" xfId="0" applyFont="1" applyFill="1" applyAlignment="1">
      <alignment horizontal="left"/>
    </xf>
    <xf numFmtId="10" fontId="0" fillId="0" borderId="0" xfId="0" pivotButton="1" applyNumberFormat="1"/>
    <xf numFmtId="10" fontId="0" fillId="0" borderId="0" xfId="0" applyNumberFormat="1" applyAlignment="1">
      <alignment horizontal="left"/>
    </xf>
    <xf numFmtId="165" fontId="0" fillId="0" borderId="0" xfId="0" applyNumberFormat="1"/>
    <xf numFmtId="165" fontId="3" fillId="3" borderId="4" xfId="0" applyNumberFormat="1" applyFont="1" applyFill="1" applyBorder="1"/>
    <xf numFmtId="10" fontId="3" fillId="3" borderId="4" xfId="0" applyNumberFormat="1" applyFont="1" applyFill="1" applyBorder="1"/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4" fontId="0" fillId="0" borderId="0" xfId="0" applyNumberFormat="1"/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2" fontId="4" fillId="0" borderId="5" xfId="0" applyNumberFormat="1" applyFont="1" applyBorder="1" applyAlignment="1">
      <alignment horizontal="center" vertical="top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3" fillId="0" borderId="0" xfId="0" applyFont="1"/>
    <xf numFmtId="2" fontId="0" fillId="0" borderId="0" xfId="0" applyNumberFormat="1"/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65" formatCode="&quot;₹&quot;\ #,##0.00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font>
        <color rgb="FFFF0000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pivotCacheDefinition" Target="pivotCache/pivotCacheDefinition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5.xml"/><Relationship Id="rId30" Type="http://schemas.openxmlformats.org/officeDocument/2006/relationships/pivotCacheDefinition" Target="pivotCache/pivotCacheDefinition8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Engagement</a:t>
            </a:r>
            <a:r>
              <a:rPr lang="en-IN" baseline="0"/>
              <a:t> vs AdSpend per Platform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8279855643044618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98381452318461"/>
          <c:y val="0.20916666666666667"/>
          <c:w val="0.79358573928258969"/>
          <c:h val="0.6417672790901137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Instagram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3C5-4697-8CB6-2DE5EC2E68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Linkedin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73C5-4697-8CB6-2DE5EC2E68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Twitter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3C5-4697-8CB6-2DE5EC2E68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Youtube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3C5-4697-8CB6-2DE5EC2E68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Task3.3!$H$21:$H$24</c:f>
              <c:numCache>
                <c:formatCode>"₹"\ #,##0.00</c:formatCode>
                <c:ptCount val="4"/>
                <c:pt idx="0">
                  <c:v>33802.76470588235</c:v>
                </c:pt>
                <c:pt idx="1">
                  <c:v>35747.972222222219</c:v>
                </c:pt>
                <c:pt idx="2">
                  <c:v>34206.567567567567</c:v>
                </c:pt>
                <c:pt idx="3">
                  <c:v>32669</c:v>
                </c:pt>
              </c:numCache>
            </c:numRef>
          </c:xVal>
          <c:yVal>
            <c:numRef>
              <c:f>Task3.3!$I$21:$I$24</c:f>
              <c:numCache>
                <c:formatCode>0.00%</c:formatCode>
                <c:ptCount val="4"/>
                <c:pt idx="0">
                  <c:v>0.15726100143394278</c:v>
                </c:pt>
                <c:pt idx="1">
                  <c:v>0.13969775668293971</c:v>
                </c:pt>
                <c:pt idx="2">
                  <c:v>0.17598390717261969</c:v>
                </c:pt>
                <c:pt idx="3">
                  <c:v>0.17920259899209665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5-4697-8CB6-2DE5EC2E6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799328"/>
        <c:axId val="1196785888"/>
      </c:scatterChart>
      <c:valAx>
        <c:axId val="1196799328"/>
        <c:scaling>
          <c:orientation val="minMax"/>
        </c:scaling>
        <c:delete val="0"/>
        <c:axPos val="b"/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85888"/>
        <c:crosses val="autoZero"/>
        <c:crossBetween val="midCat"/>
      </c:valAx>
      <c:valAx>
        <c:axId val="1196785888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[Apple_Social_Media_Analytics.xlsx] Task6.1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Weekly</a:t>
            </a:r>
            <a:r>
              <a:rPr lang="en-IN" baseline="0"/>
              <a:t> Net Follower Growth rate per Platform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Task6.1 Chart'!$B$1:$B$2</c:f>
              <c:strCache>
                <c:ptCount val="1"/>
                <c:pt idx="0">
                  <c:v>Instagram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Task6.1 Chart'!$A$3:$A$53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 Task6.1 Chart'!$B$3:$B$53</c:f>
              <c:numCache>
                <c:formatCode>General</c:formatCode>
                <c:ptCount val="50"/>
                <c:pt idx="0">
                  <c:v>3777</c:v>
                </c:pt>
                <c:pt idx="1">
                  <c:v>7215</c:v>
                </c:pt>
                <c:pt idx="2">
                  <c:v>7452</c:v>
                </c:pt>
                <c:pt idx="3">
                  <c:v>4885</c:v>
                </c:pt>
                <c:pt idx="4">
                  <c:v>3202</c:v>
                </c:pt>
                <c:pt idx="6">
                  <c:v>3586</c:v>
                </c:pt>
                <c:pt idx="9">
                  <c:v>3213</c:v>
                </c:pt>
                <c:pt idx="10">
                  <c:v>6853</c:v>
                </c:pt>
                <c:pt idx="11">
                  <c:v>6920</c:v>
                </c:pt>
                <c:pt idx="12">
                  <c:v>8231</c:v>
                </c:pt>
                <c:pt idx="13">
                  <c:v>5520</c:v>
                </c:pt>
                <c:pt idx="14">
                  <c:v>7442</c:v>
                </c:pt>
                <c:pt idx="16">
                  <c:v>1309</c:v>
                </c:pt>
                <c:pt idx="17">
                  <c:v>8361</c:v>
                </c:pt>
                <c:pt idx="18">
                  <c:v>4808</c:v>
                </c:pt>
                <c:pt idx="20">
                  <c:v>7565</c:v>
                </c:pt>
                <c:pt idx="24">
                  <c:v>5206</c:v>
                </c:pt>
                <c:pt idx="25">
                  <c:v>8485</c:v>
                </c:pt>
                <c:pt idx="26">
                  <c:v>1369</c:v>
                </c:pt>
                <c:pt idx="27">
                  <c:v>3461</c:v>
                </c:pt>
                <c:pt idx="28">
                  <c:v>3592</c:v>
                </c:pt>
                <c:pt idx="29">
                  <c:v>4314</c:v>
                </c:pt>
                <c:pt idx="30">
                  <c:v>4214</c:v>
                </c:pt>
                <c:pt idx="32">
                  <c:v>2919</c:v>
                </c:pt>
                <c:pt idx="34">
                  <c:v>3643</c:v>
                </c:pt>
                <c:pt idx="37">
                  <c:v>5439</c:v>
                </c:pt>
                <c:pt idx="38">
                  <c:v>9125</c:v>
                </c:pt>
                <c:pt idx="40">
                  <c:v>2994</c:v>
                </c:pt>
                <c:pt idx="41">
                  <c:v>8292</c:v>
                </c:pt>
                <c:pt idx="43">
                  <c:v>6128</c:v>
                </c:pt>
                <c:pt idx="44">
                  <c:v>1425</c:v>
                </c:pt>
                <c:pt idx="46">
                  <c:v>5491</c:v>
                </c:pt>
                <c:pt idx="48">
                  <c:v>7959</c:v>
                </c:pt>
                <c:pt idx="49">
                  <c:v>2805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B4-4778-8A04-157F15334E81}"/>
            </c:ext>
          </c:extLst>
        </c:ser>
        <c:ser>
          <c:idx val="1"/>
          <c:order val="1"/>
          <c:tx>
            <c:strRef>
              <c:f>' Task6.1 Chart'!$C$1:$C$2</c:f>
              <c:strCache>
                <c:ptCount val="1"/>
                <c:pt idx="0">
                  <c:v>LinkedIn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 Task6.1 Chart'!$A$3:$A$53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 Task6.1 Chart'!$C$3:$C$53</c:f>
              <c:numCache>
                <c:formatCode>General</c:formatCode>
                <c:ptCount val="50"/>
                <c:pt idx="2">
                  <c:v>6728</c:v>
                </c:pt>
                <c:pt idx="4">
                  <c:v>5442</c:v>
                </c:pt>
                <c:pt idx="5">
                  <c:v>1918</c:v>
                </c:pt>
                <c:pt idx="7">
                  <c:v>7429</c:v>
                </c:pt>
                <c:pt idx="8">
                  <c:v>1741</c:v>
                </c:pt>
                <c:pt idx="9">
                  <c:v>4847</c:v>
                </c:pt>
                <c:pt idx="12">
                  <c:v>1513</c:v>
                </c:pt>
                <c:pt idx="13">
                  <c:v>8228</c:v>
                </c:pt>
                <c:pt idx="14">
                  <c:v>6121</c:v>
                </c:pt>
                <c:pt idx="15">
                  <c:v>2199</c:v>
                </c:pt>
                <c:pt idx="18">
                  <c:v>2421</c:v>
                </c:pt>
                <c:pt idx="21">
                  <c:v>6452</c:v>
                </c:pt>
                <c:pt idx="22">
                  <c:v>4942</c:v>
                </c:pt>
                <c:pt idx="23">
                  <c:v>4882</c:v>
                </c:pt>
                <c:pt idx="24">
                  <c:v>3179</c:v>
                </c:pt>
                <c:pt idx="25">
                  <c:v>8945</c:v>
                </c:pt>
                <c:pt idx="26">
                  <c:v>5402</c:v>
                </c:pt>
                <c:pt idx="27">
                  <c:v>949</c:v>
                </c:pt>
                <c:pt idx="28">
                  <c:v>8527</c:v>
                </c:pt>
                <c:pt idx="29">
                  <c:v>1367</c:v>
                </c:pt>
                <c:pt idx="30">
                  <c:v>8200</c:v>
                </c:pt>
                <c:pt idx="31">
                  <c:v>9254</c:v>
                </c:pt>
                <c:pt idx="32">
                  <c:v>7471</c:v>
                </c:pt>
                <c:pt idx="34">
                  <c:v>7260</c:v>
                </c:pt>
                <c:pt idx="36">
                  <c:v>3420</c:v>
                </c:pt>
                <c:pt idx="37">
                  <c:v>5101</c:v>
                </c:pt>
                <c:pt idx="39">
                  <c:v>7432</c:v>
                </c:pt>
                <c:pt idx="40">
                  <c:v>2535</c:v>
                </c:pt>
                <c:pt idx="41">
                  <c:v>7509</c:v>
                </c:pt>
                <c:pt idx="42">
                  <c:v>9044</c:v>
                </c:pt>
                <c:pt idx="43">
                  <c:v>1660</c:v>
                </c:pt>
                <c:pt idx="44">
                  <c:v>4542</c:v>
                </c:pt>
                <c:pt idx="45">
                  <c:v>7849</c:v>
                </c:pt>
                <c:pt idx="47">
                  <c:v>1512</c:v>
                </c:pt>
                <c:pt idx="48">
                  <c:v>893</c:v>
                </c:pt>
                <c:pt idx="49">
                  <c:v>7025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B4-4778-8A04-157F15334E81}"/>
            </c:ext>
          </c:extLst>
        </c:ser>
        <c:ser>
          <c:idx val="2"/>
          <c:order val="2"/>
          <c:tx>
            <c:strRef>
              <c:f>' Task6.1 Chart'!$D$1:$D$2</c:f>
              <c:strCache>
                <c:ptCount val="1"/>
                <c:pt idx="0">
                  <c:v>Twitter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 Task6.1 Chart'!$A$3:$A$53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 Task6.1 Chart'!$D$3:$D$53</c:f>
              <c:numCache>
                <c:formatCode>General</c:formatCode>
                <c:ptCount val="50"/>
                <c:pt idx="0">
                  <c:v>7432</c:v>
                </c:pt>
                <c:pt idx="1">
                  <c:v>4934</c:v>
                </c:pt>
                <c:pt idx="2">
                  <c:v>6073</c:v>
                </c:pt>
                <c:pt idx="3">
                  <c:v>8654</c:v>
                </c:pt>
                <c:pt idx="4">
                  <c:v>8463</c:v>
                </c:pt>
                <c:pt idx="5">
                  <c:v>7151</c:v>
                </c:pt>
                <c:pt idx="6">
                  <c:v>7092</c:v>
                </c:pt>
                <c:pt idx="7">
                  <c:v>7733</c:v>
                </c:pt>
                <c:pt idx="8">
                  <c:v>6039</c:v>
                </c:pt>
                <c:pt idx="9">
                  <c:v>3497</c:v>
                </c:pt>
                <c:pt idx="10">
                  <c:v>5795</c:v>
                </c:pt>
                <c:pt idx="12">
                  <c:v>5753</c:v>
                </c:pt>
                <c:pt idx="13">
                  <c:v>6593</c:v>
                </c:pt>
                <c:pt idx="15">
                  <c:v>3925</c:v>
                </c:pt>
                <c:pt idx="16">
                  <c:v>4942</c:v>
                </c:pt>
                <c:pt idx="17">
                  <c:v>5698</c:v>
                </c:pt>
                <c:pt idx="19">
                  <c:v>7767</c:v>
                </c:pt>
                <c:pt idx="22">
                  <c:v>7218</c:v>
                </c:pt>
                <c:pt idx="23">
                  <c:v>1017</c:v>
                </c:pt>
                <c:pt idx="24">
                  <c:v>6384</c:v>
                </c:pt>
                <c:pt idx="27">
                  <c:v>6642</c:v>
                </c:pt>
                <c:pt idx="28">
                  <c:v>6275</c:v>
                </c:pt>
                <c:pt idx="30">
                  <c:v>3079</c:v>
                </c:pt>
                <c:pt idx="31">
                  <c:v>7668</c:v>
                </c:pt>
                <c:pt idx="32">
                  <c:v>7346</c:v>
                </c:pt>
                <c:pt idx="33">
                  <c:v>8518</c:v>
                </c:pt>
                <c:pt idx="34">
                  <c:v>6361</c:v>
                </c:pt>
                <c:pt idx="35">
                  <c:v>8128</c:v>
                </c:pt>
                <c:pt idx="36">
                  <c:v>1020</c:v>
                </c:pt>
                <c:pt idx="37">
                  <c:v>1290</c:v>
                </c:pt>
                <c:pt idx="39">
                  <c:v>2081</c:v>
                </c:pt>
                <c:pt idx="40">
                  <c:v>8723</c:v>
                </c:pt>
                <c:pt idx="43">
                  <c:v>6272</c:v>
                </c:pt>
                <c:pt idx="44">
                  <c:v>8319</c:v>
                </c:pt>
                <c:pt idx="46">
                  <c:v>7058</c:v>
                </c:pt>
                <c:pt idx="47">
                  <c:v>2926</c:v>
                </c:pt>
                <c:pt idx="49">
                  <c:v>7436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B4-4778-8A04-157F15334E81}"/>
            </c:ext>
          </c:extLst>
        </c:ser>
        <c:ser>
          <c:idx val="3"/>
          <c:order val="3"/>
          <c:tx>
            <c:strRef>
              <c:f>' Task6.1 Chart'!$E$1:$E$2</c:f>
              <c:strCache>
                <c:ptCount val="1"/>
                <c:pt idx="0">
                  <c:v>YouTube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 Task6.1 Chart'!$A$3:$A$53</c:f>
              <c:strCache>
                <c:ptCount val="5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2024-07-08</c:v>
                </c:pt>
                <c:pt idx="6">
                  <c:v>2024-07-15</c:v>
                </c:pt>
                <c:pt idx="7">
                  <c:v>2024-07-22</c:v>
                </c:pt>
                <c:pt idx="8">
                  <c:v>2024-07-29</c:v>
                </c:pt>
                <c:pt idx="9">
                  <c:v>2024-08-05</c:v>
                </c:pt>
                <c:pt idx="10">
                  <c:v>2024-08-12</c:v>
                </c:pt>
                <c:pt idx="11">
                  <c:v>2024-08-19</c:v>
                </c:pt>
                <c:pt idx="12">
                  <c:v>2024-08-26</c:v>
                </c:pt>
                <c:pt idx="13">
                  <c:v>2024-09-02</c:v>
                </c:pt>
                <c:pt idx="14">
                  <c:v>2024-09-09</c:v>
                </c:pt>
                <c:pt idx="15">
                  <c:v>2024-09-16</c:v>
                </c:pt>
                <c:pt idx="16">
                  <c:v>2024-09-23</c:v>
                </c:pt>
                <c:pt idx="17">
                  <c:v>2024-09-30</c:v>
                </c:pt>
                <c:pt idx="18">
                  <c:v>2024-10-07</c:v>
                </c:pt>
                <c:pt idx="19">
                  <c:v>2024-10-14</c:v>
                </c:pt>
                <c:pt idx="20">
                  <c:v>2024-10-21</c:v>
                </c:pt>
                <c:pt idx="21">
                  <c:v>2024-10-28</c:v>
                </c:pt>
                <c:pt idx="22">
                  <c:v>2024-11-04</c:v>
                </c:pt>
                <c:pt idx="23">
                  <c:v>2024-11-11</c:v>
                </c:pt>
                <c:pt idx="24">
                  <c:v>2024-11-18</c:v>
                </c:pt>
                <c:pt idx="25">
                  <c:v>2024-11-25</c:v>
                </c:pt>
                <c:pt idx="26">
                  <c:v>2024-12-02</c:v>
                </c:pt>
                <c:pt idx="27">
                  <c:v>2024-12-09</c:v>
                </c:pt>
                <c:pt idx="28">
                  <c:v>2024-12-16</c:v>
                </c:pt>
                <c:pt idx="29">
                  <c:v>2024-12-23</c:v>
                </c:pt>
                <c:pt idx="30">
                  <c:v>2024-12-30</c:v>
                </c:pt>
                <c:pt idx="31">
                  <c:v>2025-01-06</c:v>
                </c:pt>
                <c:pt idx="32">
                  <c:v>2025-01-13</c:v>
                </c:pt>
                <c:pt idx="33">
                  <c:v>2025-01-20</c:v>
                </c:pt>
                <c:pt idx="34">
                  <c:v>2025-01-27</c:v>
                </c:pt>
                <c:pt idx="35">
                  <c:v>2025-02-03</c:v>
                </c:pt>
                <c:pt idx="36">
                  <c:v>2025-02-10</c:v>
                </c:pt>
                <c:pt idx="37">
                  <c:v>2025-02-17</c:v>
                </c:pt>
                <c:pt idx="38">
                  <c:v>2025-02-24</c:v>
                </c:pt>
                <c:pt idx="39">
                  <c:v>2025-03-03</c:v>
                </c:pt>
                <c:pt idx="40">
                  <c:v>2025-03-10</c:v>
                </c:pt>
                <c:pt idx="41">
                  <c:v>2025-03-17</c:v>
                </c:pt>
                <c:pt idx="42">
                  <c:v>2025-03-24</c:v>
                </c:pt>
                <c:pt idx="43">
                  <c:v>2025-03-31</c:v>
                </c:pt>
                <c:pt idx="44">
                  <c:v>2025-04-07</c:v>
                </c:pt>
                <c:pt idx="45">
                  <c:v>2025-04-14</c:v>
                </c:pt>
                <c:pt idx="46">
                  <c:v>2025-04-21</c:v>
                </c:pt>
                <c:pt idx="47">
                  <c:v>2025-04-28</c:v>
                </c:pt>
                <c:pt idx="48">
                  <c:v>2025-05-05</c:v>
                </c:pt>
                <c:pt idx="49">
                  <c:v>2025-05-12</c:v>
                </c:pt>
              </c:strCache>
            </c:strRef>
          </c:cat>
          <c:val>
            <c:numRef>
              <c:f>' Task6.1 Chart'!$E$3:$E$53</c:f>
              <c:numCache>
                <c:formatCode>General</c:formatCode>
                <c:ptCount val="50"/>
                <c:pt idx="0">
                  <c:v>8123</c:v>
                </c:pt>
                <c:pt idx="1">
                  <c:v>7478</c:v>
                </c:pt>
                <c:pt idx="3">
                  <c:v>8653</c:v>
                </c:pt>
                <c:pt idx="6">
                  <c:v>1826</c:v>
                </c:pt>
                <c:pt idx="7">
                  <c:v>9082</c:v>
                </c:pt>
                <c:pt idx="8">
                  <c:v>3445</c:v>
                </c:pt>
                <c:pt idx="9">
                  <c:v>2543</c:v>
                </c:pt>
                <c:pt idx="10">
                  <c:v>7033</c:v>
                </c:pt>
                <c:pt idx="11">
                  <c:v>5071</c:v>
                </c:pt>
                <c:pt idx="12">
                  <c:v>5303</c:v>
                </c:pt>
                <c:pt idx="14">
                  <c:v>9118</c:v>
                </c:pt>
                <c:pt idx="15">
                  <c:v>7224</c:v>
                </c:pt>
                <c:pt idx="18">
                  <c:v>6201</c:v>
                </c:pt>
                <c:pt idx="19">
                  <c:v>7115</c:v>
                </c:pt>
                <c:pt idx="20">
                  <c:v>6918</c:v>
                </c:pt>
                <c:pt idx="21">
                  <c:v>6439</c:v>
                </c:pt>
                <c:pt idx="22">
                  <c:v>3056</c:v>
                </c:pt>
                <c:pt idx="23">
                  <c:v>5220</c:v>
                </c:pt>
                <c:pt idx="25">
                  <c:v>5143</c:v>
                </c:pt>
                <c:pt idx="26">
                  <c:v>3929</c:v>
                </c:pt>
                <c:pt idx="27">
                  <c:v>4790</c:v>
                </c:pt>
                <c:pt idx="29">
                  <c:v>7328</c:v>
                </c:pt>
                <c:pt idx="31">
                  <c:v>8601</c:v>
                </c:pt>
                <c:pt idx="32">
                  <c:v>1001</c:v>
                </c:pt>
                <c:pt idx="33">
                  <c:v>7654</c:v>
                </c:pt>
                <c:pt idx="35">
                  <c:v>3805</c:v>
                </c:pt>
                <c:pt idx="38">
                  <c:v>8979</c:v>
                </c:pt>
                <c:pt idx="39">
                  <c:v>6631</c:v>
                </c:pt>
                <c:pt idx="40">
                  <c:v>3555</c:v>
                </c:pt>
                <c:pt idx="42">
                  <c:v>4189</c:v>
                </c:pt>
                <c:pt idx="43">
                  <c:v>1567</c:v>
                </c:pt>
                <c:pt idx="44">
                  <c:v>6434</c:v>
                </c:pt>
                <c:pt idx="48">
                  <c:v>5210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B4-4778-8A04-157F15334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9577968"/>
        <c:axId val="1289578448"/>
      </c:lineChart>
      <c:catAx>
        <c:axId val="128957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8448"/>
        <c:crosses val="autoZero"/>
        <c:auto val="1"/>
        <c:lblAlgn val="ctr"/>
        <c:lblOffset val="100"/>
        <c:noMultiLvlLbl val="0"/>
      </c:catAx>
      <c:valAx>
        <c:axId val="128957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7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3</a:t>
            </a:r>
            <a:r>
              <a:rPr lang="en-IN" baseline="0"/>
              <a:t> Week Moving Average pf Weekly Net New Followers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Task6.3!$J$1</c:f>
              <c:strCache>
                <c:ptCount val="1"/>
                <c:pt idx="0">
                  <c:v>3 Week Moving 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Task6.3!$A$1:$A$141</c15:sqref>
                  </c15:fullRef>
                </c:ext>
              </c:extLst>
              <c:f>Task6.3!$A$2:$A$141</c:f>
              <c:strCache>
                <c:ptCount val="140"/>
                <c:pt idx="0">
                  <c:v>2024-06-03</c:v>
                </c:pt>
                <c:pt idx="1">
                  <c:v>2024-06-10</c:v>
                </c:pt>
                <c:pt idx="2">
                  <c:v>2024-06-17</c:v>
                </c:pt>
                <c:pt idx="3">
                  <c:v>2024-06-24</c:v>
                </c:pt>
                <c:pt idx="4">
                  <c:v>2024-07-01</c:v>
                </c:pt>
                <c:pt idx="5">
                  <c:v>2024-07-15</c:v>
                </c:pt>
                <c:pt idx="6">
                  <c:v>2024-08-05</c:v>
                </c:pt>
                <c:pt idx="7">
                  <c:v>2024-08-12</c:v>
                </c:pt>
                <c:pt idx="8">
                  <c:v>2024-08-19</c:v>
                </c:pt>
                <c:pt idx="9">
                  <c:v>2024-08-26</c:v>
                </c:pt>
                <c:pt idx="10">
                  <c:v>2024-09-02</c:v>
                </c:pt>
                <c:pt idx="11">
                  <c:v>2024-09-09</c:v>
                </c:pt>
                <c:pt idx="12">
                  <c:v>2024-09-23</c:v>
                </c:pt>
                <c:pt idx="13">
                  <c:v>2024-09-30</c:v>
                </c:pt>
                <c:pt idx="14">
                  <c:v>2024-10-07</c:v>
                </c:pt>
                <c:pt idx="15">
                  <c:v>2024-10-21</c:v>
                </c:pt>
                <c:pt idx="16">
                  <c:v>2024-11-18</c:v>
                </c:pt>
                <c:pt idx="17">
                  <c:v>2024-11-25</c:v>
                </c:pt>
                <c:pt idx="18">
                  <c:v>2024-12-02</c:v>
                </c:pt>
                <c:pt idx="19">
                  <c:v>2024-12-09</c:v>
                </c:pt>
                <c:pt idx="20">
                  <c:v>2024-12-16</c:v>
                </c:pt>
                <c:pt idx="21">
                  <c:v>2024-12-23</c:v>
                </c:pt>
                <c:pt idx="22">
                  <c:v>2024-12-30</c:v>
                </c:pt>
                <c:pt idx="23">
                  <c:v>2025-01-13</c:v>
                </c:pt>
                <c:pt idx="24">
                  <c:v>2025-01-27</c:v>
                </c:pt>
                <c:pt idx="25">
                  <c:v>2025-02-17</c:v>
                </c:pt>
                <c:pt idx="26">
                  <c:v>2025-02-24</c:v>
                </c:pt>
                <c:pt idx="27">
                  <c:v>2025-03-10</c:v>
                </c:pt>
                <c:pt idx="28">
                  <c:v>2025-03-17</c:v>
                </c:pt>
                <c:pt idx="29">
                  <c:v>2025-03-31</c:v>
                </c:pt>
                <c:pt idx="30">
                  <c:v>2025-04-07</c:v>
                </c:pt>
                <c:pt idx="31">
                  <c:v>2025-04-21</c:v>
                </c:pt>
                <c:pt idx="32">
                  <c:v>2025-05-05</c:v>
                </c:pt>
                <c:pt idx="33">
                  <c:v>2025-05-12</c:v>
                </c:pt>
                <c:pt idx="34">
                  <c:v>2024-06-17</c:v>
                </c:pt>
                <c:pt idx="35">
                  <c:v>2024-07-01</c:v>
                </c:pt>
                <c:pt idx="36">
                  <c:v>2024-07-08</c:v>
                </c:pt>
                <c:pt idx="37">
                  <c:v>2024-07-22</c:v>
                </c:pt>
                <c:pt idx="38">
                  <c:v>2024-07-29</c:v>
                </c:pt>
                <c:pt idx="39">
                  <c:v>2024-08-05</c:v>
                </c:pt>
                <c:pt idx="40">
                  <c:v>2024-08-26</c:v>
                </c:pt>
                <c:pt idx="41">
                  <c:v>2024-09-02</c:v>
                </c:pt>
                <c:pt idx="42">
                  <c:v>2024-09-09</c:v>
                </c:pt>
                <c:pt idx="43">
                  <c:v>2024-09-16</c:v>
                </c:pt>
                <c:pt idx="44">
                  <c:v>2024-10-07</c:v>
                </c:pt>
                <c:pt idx="45">
                  <c:v>2024-10-28</c:v>
                </c:pt>
                <c:pt idx="46">
                  <c:v>2024-11-04</c:v>
                </c:pt>
                <c:pt idx="47">
                  <c:v>2024-11-11</c:v>
                </c:pt>
                <c:pt idx="48">
                  <c:v>2024-11-18</c:v>
                </c:pt>
                <c:pt idx="49">
                  <c:v>2024-11-25</c:v>
                </c:pt>
                <c:pt idx="50">
                  <c:v>2024-12-02</c:v>
                </c:pt>
                <c:pt idx="51">
                  <c:v>2024-12-09</c:v>
                </c:pt>
                <c:pt idx="52">
                  <c:v>2024-12-16</c:v>
                </c:pt>
                <c:pt idx="53">
                  <c:v>2024-12-23</c:v>
                </c:pt>
                <c:pt idx="54">
                  <c:v>2024-12-30</c:v>
                </c:pt>
                <c:pt idx="55">
                  <c:v>2025-01-06</c:v>
                </c:pt>
                <c:pt idx="56">
                  <c:v>2025-01-13</c:v>
                </c:pt>
                <c:pt idx="57">
                  <c:v>2025-01-27</c:v>
                </c:pt>
                <c:pt idx="58">
                  <c:v>2025-02-10</c:v>
                </c:pt>
                <c:pt idx="59">
                  <c:v>2025-02-17</c:v>
                </c:pt>
                <c:pt idx="60">
                  <c:v>2025-03-03</c:v>
                </c:pt>
                <c:pt idx="61">
                  <c:v>2025-03-10</c:v>
                </c:pt>
                <c:pt idx="62">
                  <c:v>2025-03-17</c:v>
                </c:pt>
                <c:pt idx="63">
                  <c:v>2025-03-24</c:v>
                </c:pt>
                <c:pt idx="64">
                  <c:v>2025-03-31</c:v>
                </c:pt>
                <c:pt idx="65">
                  <c:v>2025-04-07</c:v>
                </c:pt>
                <c:pt idx="66">
                  <c:v>2025-04-14</c:v>
                </c:pt>
                <c:pt idx="67">
                  <c:v>2025-04-28</c:v>
                </c:pt>
                <c:pt idx="68">
                  <c:v>2025-05-05</c:v>
                </c:pt>
                <c:pt idx="69">
                  <c:v>2025-05-12</c:v>
                </c:pt>
                <c:pt idx="70">
                  <c:v>2024-06-03</c:v>
                </c:pt>
                <c:pt idx="71">
                  <c:v>2024-06-10</c:v>
                </c:pt>
                <c:pt idx="72">
                  <c:v>2024-06-17</c:v>
                </c:pt>
                <c:pt idx="73">
                  <c:v>2024-06-24</c:v>
                </c:pt>
                <c:pt idx="74">
                  <c:v>2024-07-01</c:v>
                </c:pt>
                <c:pt idx="75">
                  <c:v>2024-07-08</c:v>
                </c:pt>
                <c:pt idx="76">
                  <c:v>2024-07-15</c:v>
                </c:pt>
                <c:pt idx="77">
                  <c:v>2024-07-22</c:v>
                </c:pt>
                <c:pt idx="78">
                  <c:v>2024-07-29</c:v>
                </c:pt>
                <c:pt idx="79">
                  <c:v>2024-08-05</c:v>
                </c:pt>
                <c:pt idx="80">
                  <c:v>2024-08-12</c:v>
                </c:pt>
                <c:pt idx="81">
                  <c:v>2024-08-26</c:v>
                </c:pt>
                <c:pt idx="82">
                  <c:v>2024-09-02</c:v>
                </c:pt>
                <c:pt idx="83">
                  <c:v>2024-09-16</c:v>
                </c:pt>
                <c:pt idx="84">
                  <c:v>2024-09-23</c:v>
                </c:pt>
                <c:pt idx="85">
                  <c:v>2024-09-30</c:v>
                </c:pt>
                <c:pt idx="86">
                  <c:v>2024-10-14</c:v>
                </c:pt>
                <c:pt idx="87">
                  <c:v>2024-11-04</c:v>
                </c:pt>
                <c:pt idx="88">
                  <c:v>2024-11-11</c:v>
                </c:pt>
                <c:pt idx="89">
                  <c:v>2024-11-18</c:v>
                </c:pt>
                <c:pt idx="90">
                  <c:v>2024-12-09</c:v>
                </c:pt>
                <c:pt idx="91">
                  <c:v>2024-12-16</c:v>
                </c:pt>
                <c:pt idx="92">
                  <c:v>2024-12-30</c:v>
                </c:pt>
                <c:pt idx="93">
                  <c:v>2025-01-06</c:v>
                </c:pt>
                <c:pt idx="94">
                  <c:v>2025-01-13</c:v>
                </c:pt>
                <c:pt idx="95">
                  <c:v>2025-01-20</c:v>
                </c:pt>
                <c:pt idx="96">
                  <c:v>2025-01-27</c:v>
                </c:pt>
                <c:pt idx="97">
                  <c:v>2025-02-03</c:v>
                </c:pt>
                <c:pt idx="98">
                  <c:v>2025-02-10</c:v>
                </c:pt>
                <c:pt idx="99">
                  <c:v>2025-02-17</c:v>
                </c:pt>
                <c:pt idx="100">
                  <c:v>2025-03-03</c:v>
                </c:pt>
                <c:pt idx="101">
                  <c:v>2025-03-10</c:v>
                </c:pt>
                <c:pt idx="102">
                  <c:v>2025-03-31</c:v>
                </c:pt>
                <c:pt idx="103">
                  <c:v>2025-04-07</c:v>
                </c:pt>
                <c:pt idx="104">
                  <c:v>2025-04-21</c:v>
                </c:pt>
                <c:pt idx="105">
                  <c:v>2025-04-28</c:v>
                </c:pt>
                <c:pt idx="106">
                  <c:v>2025-05-12</c:v>
                </c:pt>
                <c:pt idx="107">
                  <c:v>2024-06-03</c:v>
                </c:pt>
                <c:pt idx="108">
                  <c:v>2024-06-10</c:v>
                </c:pt>
                <c:pt idx="109">
                  <c:v>2024-06-24</c:v>
                </c:pt>
                <c:pt idx="110">
                  <c:v>2024-07-15</c:v>
                </c:pt>
                <c:pt idx="111">
                  <c:v>2024-07-22</c:v>
                </c:pt>
                <c:pt idx="112">
                  <c:v>2024-07-29</c:v>
                </c:pt>
                <c:pt idx="113">
                  <c:v>2024-08-05</c:v>
                </c:pt>
                <c:pt idx="114">
                  <c:v>2024-08-12</c:v>
                </c:pt>
                <c:pt idx="115">
                  <c:v>2024-08-19</c:v>
                </c:pt>
                <c:pt idx="116">
                  <c:v>2024-08-26</c:v>
                </c:pt>
                <c:pt idx="117">
                  <c:v>2024-09-09</c:v>
                </c:pt>
                <c:pt idx="118">
                  <c:v>2024-09-16</c:v>
                </c:pt>
                <c:pt idx="119">
                  <c:v>2024-10-07</c:v>
                </c:pt>
                <c:pt idx="120">
                  <c:v>2024-10-14</c:v>
                </c:pt>
                <c:pt idx="121">
                  <c:v>2024-10-21</c:v>
                </c:pt>
                <c:pt idx="122">
                  <c:v>2024-10-28</c:v>
                </c:pt>
                <c:pt idx="123">
                  <c:v>2024-11-04</c:v>
                </c:pt>
                <c:pt idx="124">
                  <c:v>2024-11-11</c:v>
                </c:pt>
                <c:pt idx="125">
                  <c:v>2024-11-25</c:v>
                </c:pt>
                <c:pt idx="126">
                  <c:v>2024-12-02</c:v>
                </c:pt>
                <c:pt idx="127">
                  <c:v>2024-12-09</c:v>
                </c:pt>
                <c:pt idx="128">
                  <c:v>2024-12-23</c:v>
                </c:pt>
                <c:pt idx="129">
                  <c:v>2025-01-06</c:v>
                </c:pt>
                <c:pt idx="130">
                  <c:v>2025-01-13</c:v>
                </c:pt>
                <c:pt idx="131">
                  <c:v>2025-01-20</c:v>
                </c:pt>
                <c:pt idx="132">
                  <c:v>2025-02-03</c:v>
                </c:pt>
                <c:pt idx="133">
                  <c:v>2025-02-24</c:v>
                </c:pt>
                <c:pt idx="134">
                  <c:v>2025-03-03</c:v>
                </c:pt>
                <c:pt idx="135">
                  <c:v>2025-03-10</c:v>
                </c:pt>
                <c:pt idx="136">
                  <c:v>2025-03-24</c:v>
                </c:pt>
                <c:pt idx="137">
                  <c:v>2025-03-31</c:v>
                </c:pt>
                <c:pt idx="138">
                  <c:v>2025-04-07</c:v>
                </c:pt>
                <c:pt idx="139">
                  <c:v>2025-05-05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Task6.3!$J$2:$J$141</c15:sqref>
                  </c15:fullRef>
                </c:ext>
              </c:extLst>
              <c:f>Task6.3!$J$3:$J$141</c:f>
              <c:numCache>
                <c:formatCode>General</c:formatCode>
                <c:ptCount val="139"/>
                <c:pt idx="1" formatCode="#,##0.00">
                  <c:v>6148</c:v>
                </c:pt>
                <c:pt idx="2" formatCode="#,##0.00">
                  <c:v>6517.333333333333</c:v>
                </c:pt>
                <c:pt idx="3" formatCode="#,##0.00">
                  <c:v>5179.666666666667</c:v>
                </c:pt>
                <c:pt idx="4" formatCode="#,##0.00">
                  <c:v>3891</c:v>
                </c:pt>
                <c:pt idx="5" formatCode="#,##0.00">
                  <c:v>3333.6666666666665</c:v>
                </c:pt>
                <c:pt idx="6" formatCode="#,##0.00">
                  <c:v>4550.666666666667</c:v>
                </c:pt>
                <c:pt idx="7" formatCode="#,##0.00">
                  <c:v>5662</c:v>
                </c:pt>
                <c:pt idx="8" formatCode="#,##0.00">
                  <c:v>7334.666666666667</c:v>
                </c:pt>
                <c:pt idx="9" formatCode="#,##0.00">
                  <c:v>6890.333333333333</c:v>
                </c:pt>
                <c:pt idx="10" formatCode="#,##0.00">
                  <c:v>7064.333333333333</c:v>
                </c:pt>
                <c:pt idx="11" formatCode="#,##0.00">
                  <c:v>4757</c:v>
                </c:pt>
                <c:pt idx="12" formatCode="#,##0.00">
                  <c:v>5704</c:v>
                </c:pt>
                <c:pt idx="13" formatCode="#,##0.00">
                  <c:v>4826</c:v>
                </c:pt>
                <c:pt idx="14" formatCode="#,##0.00">
                  <c:v>6911.333333333333</c:v>
                </c:pt>
                <c:pt idx="15" formatCode="#,##0.00">
                  <c:v>5859.666666666667</c:v>
                </c:pt>
                <c:pt idx="16" formatCode="#,##0.00">
                  <c:v>7085.333333333333</c:v>
                </c:pt>
                <c:pt idx="17" formatCode="#,##0.00">
                  <c:v>5020</c:v>
                </c:pt>
                <c:pt idx="18" formatCode="#,##0.00">
                  <c:v>4438.333333333333</c:v>
                </c:pt>
                <c:pt idx="19" formatCode="#,##0.00">
                  <c:v>2807.3333333333335</c:v>
                </c:pt>
                <c:pt idx="20" formatCode="#,##0.00">
                  <c:v>3789</c:v>
                </c:pt>
                <c:pt idx="21" formatCode="#,##0.00">
                  <c:v>4040</c:v>
                </c:pt>
                <c:pt idx="22" formatCode="#,##0.00">
                  <c:v>3815.6666666666665</c:v>
                </c:pt>
                <c:pt idx="23" formatCode="#,##0.00">
                  <c:v>3592</c:v>
                </c:pt>
                <c:pt idx="24" formatCode="#,##0.00">
                  <c:v>4000.3333333333335</c:v>
                </c:pt>
                <c:pt idx="25" formatCode="#,##0.00">
                  <c:v>6069</c:v>
                </c:pt>
                <c:pt idx="26" formatCode="#,##0.00">
                  <c:v>5852.666666666667</c:v>
                </c:pt>
                <c:pt idx="27" formatCode="#,##0.00">
                  <c:v>6803.666666666667</c:v>
                </c:pt>
                <c:pt idx="28" formatCode="#,##0.00">
                  <c:v>5804.666666666667</c:v>
                </c:pt>
                <c:pt idx="29" formatCode="#,##0.00">
                  <c:v>5281.666666666667</c:v>
                </c:pt>
                <c:pt idx="30" formatCode="#,##0.00">
                  <c:v>4348</c:v>
                </c:pt>
                <c:pt idx="31" formatCode="#,##0.00">
                  <c:v>4958.333333333333</c:v>
                </c:pt>
                <c:pt idx="32" formatCode="#,##0.00">
                  <c:v>5418.333333333333</c:v>
                </c:pt>
                <c:pt idx="35" formatCode="#,##0.00">
                  <c:v>4696</c:v>
                </c:pt>
                <c:pt idx="36" formatCode="#,##0.00">
                  <c:v>4929.666666666667</c:v>
                </c:pt>
                <c:pt idx="37" formatCode="#,##0.00">
                  <c:v>3696</c:v>
                </c:pt>
                <c:pt idx="38" formatCode="#,##0.00">
                  <c:v>4672.333333333333</c:v>
                </c:pt>
                <c:pt idx="39" formatCode="#,##0.00">
                  <c:v>2700.3333333333335</c:v>
                </c:pt>
                <c:pt idx="40" formatCode="#,##0.00">
                  <c:v>4862.666666666667</c:v>
                </c:pt>
                <c:pt idx="41" formatCode="#,##0.00">
                  <c:v>5287.333333333333</c:v>
                </c:pt>
                <c:pt idx="42" formatCode="#,##0.00">
                  <c:v>5516</c:v>
                </c:pt>
                <c:pt idx="43" formatCode="#,##0.00">
                  <c:v>3580.3333333333335</c:v>
                </c:pt>
                <c:pt idx="44" formatCode="#,##0.00">
                  <c:v>3690.6666666666665</c:v>
                </c:pt>
                <c:pt idx="45" formatCode="#,##0.00">
                  <c:v>4605</c:v>
                </c:pt>
                <c:pt idx="46" formatCode="#,##0.00">
                  <c:v>5425.333333333333</c:v>
                </c:pt>
                <c:pt idx="47" formatCode="#,##0.00">
                  <c:v>4334.333333333333</c:v>
                </c:pt>
                <c:pt idx="48" formatCode="#,##0.00">
                  <c:v>5668.666666666667</c:v>
                </c:pt>
                <c:pt idx="49" formatCode="#,##0.00">
                  <c:v>5842</c:v>
                </c:pt>
                <c:pt idx="50" formatCode="#,##0.00">
                  <c:v>5098.666666666667</c:v>
                </c:pt>
                <c:pt idx="51" formatCode="#,##0.00">
                  <c:v>4959.333333333333</c:v>
                </c:pt>
                <c:pt idx="52" formatCode="#,##0.00">
                  <c:v>3614.3333333333335</c:v>
                </c:pt>
                <c:pt idx="53" formatCode="#,##0.00">
                  <c:v>6031.333333333333</c:v>
                </c:pt>
                <c:pt idx="54" formatCode="#,##0.00">
                  <c:v>6273.666666666667</c:v>
                </c:pt>
                <c:pt idx="55" formatCode="#,##0.00">
                  <c:v>8308.3333333333339</c:v>
                </c:pt>
                <c:pt idx="56" formatCode="#,##0.00">
                  <c:v>7995</c:v>
                </c:pt>
                <c:pt idx="57" formatCode="#,##0.00">
                  <c:v>6050.333333333333</c:v>
                </c:pt>
                <c:pt idx="58" formatCode="#,##0.00">
                  <c:v>5260.333333333333</c:v>
                </c:pt>
                <c:pt idx="59" formatCode="#,##0.00">
                  <c:v>5317.666666666667</c:v>
                </c:pt>
                <c:pt idx="60" formatCode="#,##0.00">
                  <c:v>5022.666666666667</c:v>
                </c:pt>
                <c:pt idx="61" formatCode="#,##0.00">
                  <c:v>5825.333333333333</c:v>
                </c:pt>
                <c:pt idx="62" formatCode="#,##0.00">
                  <c:v>6362.666666666667</c:v>
                </c:pt>
                <c:pt idx="63" formatCode="#,##0.00">
                  <c:v>6071</c:v>
                </c:pt>
                <c:pt idx="64" formatCode="#,##0.00">
                  <c:v>5082</c:v>
                </c:pt>
                <c:pt idx="65" formatCode="#,##0.00">
                  <c:v>4683.666666666667</c:v>
                </c:pt>
                <c:pt idx="66" formatCode="#,##0.00">
                  <c:v>4634.333333333333</c:v>
                </c:pt>
                <c:pt idx="67" formatCode="#,##0.00">
                  <c:v>3418</c:v>
                </c:pt>
                <c:pt idx="68" formatCode="#,##0.00">
                  <c:v>3143.3333333333335</c:v>
                </c:pt>
                <c:pt idx="71" formatCode="#,##0.00">
                  <c:v>6146.333333333333</c:v>
                </c:pt>
                <c:pt idx="72" formatCode="#,##0.00">
                  <c:v>6553.666666666667</c:v>
                </c:pt>
                <c:pt idx="73" formatCode="#,##0.00">
                  <c:v>7730</c:v>
                </c:pt>
                <c:pt idx="74" formatCode="#,##0.00">
                  <c:v>8089.333333333333</c:v>
                </c:pt>
                <c:pt idx="75" formatCode="#,##0.00">
                  <c:v>7568.666666666667</c:v>
                </c:pt>
                <c:pt idx="76" formatCode="#,##0.00">
                  <c:v>7325.333333333333</c:v>
                </c:pt>
                <c:pt idx="77" formatCode="#,##0.00">
                  <c:v>6954.666666666667</c:v>
                </c:pt>
                <c:pt idx="78" formatCode="#,##0.00">
                  <c:v>5756.333333333333</c:v>
                </c:pt>
                <c:pt idx="79" formatCode="#,##0.00">
                  <c:v>5110.333333333333</c:v>
                </c:pt>
                <c:pt idx="80" formatCode="#,##0.00">
                  <c:v>5015</c:v>
                </c:pt>
                <c:pt idx="81" formatCode="#,##0.00">
                  <c:v>6047</c:v>
                </c:pt>
                <c:pt idx="82" formatCode="#,##0.00">
                  <c:v>5423.666666666667</c:v>
                </c:pt>
                <c:pt idx="83" formatCode="#,##0.00">
                  <c:v>5153.333333333333</c:v>
                </c:pt>
                <c:pt idx="84" formatCode="#,##0.00">
                  <c:v>4855</c:v>
                </c:pt>
                <c:pt idx="85" formatCode="#,##0.00">
                  <c:v>6135.666666666667</c:v>
                </c:pt>
                <c:pt idx="86" formatCode="#,##0.00">
                  <c:v>6894.333333333333</c:v>
                </c:pt>
                <c:pt idx="87" formatCode="#,##0.00">
                  <c:v>5334</c:v>
                </c:pt>
                <c:pt idx="88" formatCode="#,##0.00">
                  <c:v>4873</c:v>
                </c:pt>
                <c:pt idx="89" formatCode="#,##0.00">
                  <c:v>4681</c:v>
                </c:pt>
                <c:pt idx="90" formatCode="#,##0.00">
                  <c:v>6433.666666666667</c:v>
                </c:pt>
                <c:pt idx="91" formatCode="#,##0.00">
                  <c:v>5332</c:v>
                </c:pt>
                <c:pt idx="92" formatCode="#,##0.00">
                  <c:v>5674</c:v>
                </c:pt>
                <c:pt idx="93" formatCode="#,##0.00">
                  <c:v>6031</c:v>
                </c:pt>
                <c:pt idx="94" formatCode="#,##0.00">
                  <c:v>7844</c:v>
                </c:pt>
                <c:pt idx="95" formatCode="#,##0.00">
                  <c:v>7408.333333333333</c:v>
                </c:pt>
                <c:pt idx="96" formatCode="#,##0.00">
                  <c:v>7669</c:v>
                </c:pt>
                <c:pt idx="97" formatCode="#,##0.00">
                  <c:v>5169.666666666667</c:v>
                </c:pt>
                <c:pt idx="98" formatCode="#,##0.00">
                  <c:v>3479.3333333333335</c:v>
                </c:pt>
                <c:pt idx="99" formatCode="#,##0.00">
                  <c:v>1463.6666666666667</c:v>
                </c:pt>
                <c:pt idx="100" formatCode="#,##0.00">
                  <c:v>4031.3333333333335</c:v>
                </c:pt>
                <c:pt idx="101" formatCode="#,##0.00">
                  <c:v>5692</c:v>
                </c:pt>
                <c:pt idx="102" formatCode="#,##0.00">
                  <c:v>7771.333333333333</c:v>
                </c:pt>
                <c:pt idx="103" formatCode="#,##0.00">
                  <c:v>7216.333333333333</c:v>
                </c:pt>
                <c:pt idx="104" formatCode="#,##0.00">
                  <c:v>6101</c:v>
                </c:pt>
                <c:pt idx="105" formatCode="#,##0.00">
                  <c:v>5806.666666666667</c:v>
                </c:pt>
                <c:pt idx="108" formatCode="#,##0.00">
                  <c:v>8084.666666666667</c:v>
                </c:pt>
                <c:pt idx="109" formatCode="#,##0.00">
                  <c:v>5985.666666666667</c:v>
                </c:pt>
                <c:pt idx="110" formatCode="#,##0.00">
                  <c:v>6520.333333333333</c:v>
                </c:pt>
                <c:pt idx="111" formatCode="#,##0.00">
                  <c:v>4784.333333333333</c:v>
                </c:pt>
                <c:pt idx="112" formatCode="#,##0.00">
                  <c:v>5023.333333333333</c:v>
                </c:pt>
                <c:pt idx="113" formatCode="#,##0.00">
                  <c:v>4340.333333333333</c:v>
                </c:pt>
                <c:pt idx="114" formatCode="#,##0.00">
                  <c:v>4882.333333333333</c:v>
                </c:pt>
                <c:pt idx="115" formatCode="#,##0.00">
                  <c:v>5802.333333333333</c:v>
                </c:pt>
                <c:pt idx="116" formatCode="#,##0.00">
                  <c:v>6497.333333333333</c:v>
                </c:pt>
                <c:pt idx="117" formatCode="#,##0.00">
                  <c:v>7215</c:v>
                </c:pt>
                <c:pt idx="118" formatCode="#,##0.00">
                  <c:v>7514.333333333333</c:v>
                </c:pt>
                <c:pt idx="119" formatCode="#,##0.00">
                  <c:v>6846.666666666667</c:v>
                </c:pt>
                <c:pt idx="120" formatCode="#,##0.00">
                  <c:v>6744.666666666667</c:v>
                </c:pt>
                <c:pt idx="121" formatCode="#,##0.00">
                  <c:v>6824</c:v>
                </c:pt>
                <c:pt idx="122" formatCode="#,##0.00">
                  <c:v>5471</c:v>
                </c:pt>
                <c:pt idx="123" formatCode="#,##0.00">
                  <c:v>4905</c:v>
                </c:pt>
                <c:pt idx="124" formatCode="#,##0.00">
                  <c:v>4473</c:v>
                </c:pt>
                <c:pt idx="125" formatCode="#,##0.00">
                  <c:v>4764</c:v>
                </c:pt>
                <c:pt idx="126" formatCode="#,##0.00">
                  <c:v>4620.666666666667</c:v>
                </c:pt>
                <c:pt idx="127" formatCode="#,##0.00">
                  <c:v>5349</c:v>
                </c:pt>
                <c:pt idx="128" formatCode="#,##0.00">
                  <c:v>6906.333333333333</c:v>
                </c:pt>
                <c:pt idx="129" formatCode="#,##0.00">
                  <c:v>5643.333333333333</c:v>
                </c:pt>
                <c:pt idx="130" formatCode="#,##0.00">
                  <c:v>5752</c:v>
                </c:pt>
                <c:pt idx="131" formatCode="#,##0.00">
                  <c:v>4153.333333333333</c:v>
                </c:pt>
                <c:pt idx="132" formatCode="#,##0.00">
                  <c:v>6812.666666666667</c:v>
                </c:pt>
                <c:pt idx="133" formatCode="#,##0.00">
                  <c:v>6471.666666666667</c:v>
                </c:pt>
                <c:pt idx="134" formatCode="#,##0.00">
                  <c:v>6388.333333333333</c:v>
                </c:pt>
                <c:pt idx="135" formatCode="#,##0.00">
                  <c:v>4791.666666666667</c:v>
                </c:pt>
                <c:pt idx="136" formatCode="#,##0.00">
                  <c:v>3103.6666666666665</c:v>
                </c:pt>
                <c:pt idx="137" formatCode="#,##0.00">
                  <c:v>4063.3333333333335</c:v>
                </c:pt>
                <c:pt idx="138" formatCode="#,##0.00">
                  <c:v>4403.666666666667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5-4459-996F-711722B5B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5648480"/>
        <c:axId val="1425650400"/>
      </c:lineChart>
      <c:catAx>
        <c:axId val="1425648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</a:t>
                </a:r>
                <a:r>
                  <a:rPr lang="en-IN" baseline="0"/>
                  <a:t> Dates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50400"/>
        <c:crosses val="autoZero"/>
        <c:auto val="1"/>
        <c:lblAlgn val="ctr"/>
        <c:lblOffset val="100"/>
        <c:noMultiLvlLbl val="0"/>
      </c:catAx>
      <c:valAx>
        <c:axId val="142565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New Followers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64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Ad_Spend</a:t>
            </a:r>
            <a:r>
              <a:rPr lang="en-IN" baseline="0"/>
              <a:t> vs Weekly Net Followers </a:t>
            </a:r>
            <a:endParaRPr lang="en-IN"/>
          </a:p>
        </c:rich>
      </c:tx>
      <c:layout>
        <c:manualLayout>
          <c:xMode val="edge"/>
          <c:yMode val="edge"/>
          <c:x val="0.20405752624457901"/>
          <c:y val="3.24992602899663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Task6.4!$I$1</c:f>
              <c:strCache>
                <c:ptCount val="1"/>
                <c:pt idx="0">
                  <c:v>Net_New_Followers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786636045494314"/>
                  <c:y val="-0.338318751822688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Task6.4!$H$2:$H$141</c:f>
              <c:numCache>
                <c:formatCode>"₹"\ #,##0.00</c:formatCode>
                <c:ptCount val="140"/>
                <c:pt idx="0">
                  <c:v>23944</c:v>
                </c:pt>
                <c:pt idx="1">
                  <c:v>29873</c:v>
                </c:pt>
                <c:pt idx="2">
                  <c:v>50372</c:v>
                </c:pt>
                <c:pt idx="3">
                  <c:v>25379</c:v>
                </c:pt>
                <c:pt idx="4">
                  <c:v>46751</c:v>
                </c:pt>
                <c:pt idx="5">
                  <c:v>44546</c:v>
                </c:pt>
                <c:pt idx="6">
                  <c:v>15110</c:v>
                </c:pt>
                <c:pt idx="7">
                  <c:v>22087</c:v>
                </c:pt>
                <c:pt idx="8">
                  <c:v>33762</c:v>
                </c:pt>
                <c:pt idx="9">
                  <c:v>44947</c:v>
                </c:pt>
                <c:pt idx="10">
                  <c:v>19596</c:v>
                </c:pt>
                <c:pt idx="11">
                  <c:v>48019</c:v>
                </c:pt>
                <c:pt idx="12">
                  <c:v>28313</c:v>
                </c:pt>
                <c:pt idx="13">
                  <c:v>57639</c:v>
                </c:pt>
                <c:pt idx="14">
                  <c:v>11013</c:v>
                </c:pt>
                <c:pt idx="15">
                  <c:v>33705</c:v>
                </c:pt>
                <c:pt idx="16">
                  <c:v>11828</c:v>
                </c:pt>
                <c:pt idx="17">
                  <c:v>23109</c:v>
                </c:pt>
                <c:pt idx="18">
                  <c:v>12023</c:v>
                </c:pt>
                <c:pt idx="19">
                  <c:v>24537</c:v>
                </c:pt>
                <c:pt idx="20">
                  <c:v>48659</c:v>
                </c:pt>
                <c:pt idx="21">
                  <c:v>43848</c:v>
                </c:pt>
                <c:pt idx="22">
                  <c:v>25379</c:v>
                </c:pt>
                <c:pt idx="23">
                  <c:v>37766</c:v>
                </c:pt>
                <c:pt idx="24">
                  <c:v>12563</c:v>
                </c:pt>
                <c:pt idx="25">
                  <c:v>46060</c:v>
                </c:pt>
                <c:pt idx="26">
                  <c:v>39197</c:v>
                </c:pt>
                <c:pt idx="27">
                  <c:v>13586</c:v>
                </c:pt>
                <c:pt idx="28">
                  <c:v>26087</c:v>
                </c:pt>
                <c:pt idx="29">
                  <c:v>58868</c:v>
                </c:pt>
                <c:pt idx="30">
                  <c:v>33225</c:v>
                </c:pt>
                <c:pt idx="31">
                  <c:v>39750</c:v>
                </c:pt>
                <c:pt idx="32">
                  <c:v>16643</c:v>
                </c:pt>
                <c:pt idx="33">
                  <c:v>46727</c:v>
                </c:pt>
                <c:pt idx="34">
                  <c:v>21005</c:v>
                </c:pt>
                <c:pt idx="35">
                  <c:v>26029</c:v>
                </c:pt>
                <c:pt idx="36">
                  <c:v>59745</c:v>
                </c:pt>
                <c:pt idx="37">
                  <c:v>24226</c:v>
                </c:pt>
                <c:pt idx="38">
                  <c:v>38731</c:v>
                </c:pt>
                <c:pt idx="39">
                  <c:v>53922</c:v>
                </c:pt>
                <c:pt idx="40">
                  <c:v>13390</c:v>
                </c:pt>
                <c:pt idx="41">
                  <c:v>15997</c:v>
                </c:pt>
                <c:pt idx="42">
                  <c:v>22693</c:v>
                </c:pt>
                <c:pt idx="43">
                  <c:v>59815</c:v>
                </c:pt>
                <c:pt idx="44">
                  <c:v>10541</c:v>
                </c:pt>
                <c:pt idx="45">
                  <c:v>31817</c:v>
                </c:pt>
                <c:pt idx="46">
                  <c:v>47861</c:v>
                </c:pt>
                <c:pt idx="47">
                  <c:v>53934</c:v>
                </c:pt>
                <c:pt idx="48">
                  <c:v>58831</c:v>
                </c:pt>
                <c:pt idx="49">
                  <c:v>20258</c:v>
                </c:pt>
                <c:pt idx="50">
                  <c:v>15469</c:v>
                </c:pt>
                <c:pt idx="51">
                  <c:v>38854</c:v>
                </c:pt>
                <c:pt idx="52">
                  <c:v>43937</c:v>
                </c:pt>
                <c:pt idx="53">
                  <c:v>43598</c:v>
                </c:pt>
                <c:pt idx="54">
                  <c:v>29194</c:v>
                </c:pt>
                <c:pt idx="55">
                  <c:v>35051</c:v>
                </c:pt>
                <c:pt idx="56">
                  <c:v>37386</c:v>
                </c:pt>
                <c:pt idx="57">
                  <c:v>26184</c:v>
                </c:pt>
                <c:pt idx="58">
                  <c:v>43787</c:v>
                </c:pt>
                <c:pt idx="59">
                  <c:v>22448</c:v>
                </c:pt>
                <c:pt idx="60">
                  <c:v>44051</c:v>
                </c:pt>
                <c:pt idx="61">
                  <c:v>40447</c:v>
                </c:pt>
                <c:pt idx="62">
                  <c:v>28394</c:v>
                </c:pt>
                <c:pt idx="63">
                  <c:v>44501</c:v>
                </c:pt>
                <c:pt idx="64">
                  <c:v>28509</c:v>
                </c:pt>
                <c:pt idx="65">
                  <c:v>24472</c:v>
                </c:pt>
                <c:pt idx="66">
                  <c:v>55657</c:v>
                </c:pt>
                <c:pt idx="67">
                  <c:v>13471</c:v>
                </c:pt>
                <c:pt idx="68">
                  <c:v>51796</c:v>
                </c:pt>
                <c:pt idx="69">
                  <c:v>40268</c:v>
                </c:pt>
                <c:pt idx="70">
                  <c:v>44865</c:v>
                </c:pt>
                <c:pt idx="71">
                  <c:v>56698</c:v>
                </c:pt>
                <c:pt idx="72">
                  <c:v>38272</c:v>
                </c:pt>
                <c:pt idx="73">
                  <c:v>52845</c:v>
                </c:pt>
                <c:pt idx="74">
                  <c:v>16397</c:v>
                </c:pt>
                <c:pt idx="75">
                  <c:v>45525</c:v>
                </c:pt>
                <c:pt idx="76">
                  <c:v>34570</c:v>
                </c:pt>
                <c:pt idx="77">
                  <c:v>28284</c:v>
                </c:pt>
                <c:pt idx="78">
                  <c:v>28994</c:v>
                </c:pt>
                <c:pt idx="79">
                  <c:v>33284</c:v>
                </c:pt>
                <c:pt idx="80">
                  <c:v>27833</c:v>
                </c:pt>
                <c:pt idx="81">
                  <c:v>15017</c:v>
                </c:pt>
                <c:pt idx="82">
                  <c:v>26370</c:v>
                </c:pt>
                <c:pt idx="83">
                  <c:v>39252</c:v>
                </c:pt>
                <c:pt idx="84">
                  <c:v>17999</c:v>
                </c:pt>
                <c:pt idx="85">
                  <c:v>52963</c:v>
                </c:pt>
                <c:pt idx="86">
                  <c:v>12096</c:v>
                </c:pt>
                <c:pt idx="87">
                  <c:v>58201</c:v>
                </c:pt>
                <c:pt idx="88">
                  <c:v>53363</c:v>
                </c:pt>
                <c:pt idx="89">
                  <c:v>58709</c:v>
                </c:pt>
                <c:pt idx="90">
                  <c:v>36201</c:v>
                </c:pt>
                <c:pt idx="91">
                  <c:v>29715</c:v>
                </c:pt>
                <c:pt idx="92">
                  <c:v>25078</c:v>
                </c:pt>
                <c:pt idx="93">
                  <c:v>15105</c:v>
                </c:pt>
                <c:pt idx="94">
                  <c:v>39312</c:v>
                </c:pt>
                <c:pt idx="95">
                  <c:v>12839</c:v>
                </c:pt>
                <c:pt idx="96">
                  <c:v>13384</c:v>
                </c:pt>
                <c:pt idx="97">
                  <c:v>23493</c:v>
                </c:pt>
                <c:pt idx="98">
                  <c:v>27069</c:v>
                </c:pt>
                <c:pt idx="99">
                  <c:v>56907</c:v>
                </c:pt>
                <c:pt idx="100">
                  <c:v>47051</c:v>
                </c:pt>
                <c:pt idx="101">
                  <c:v>17736</c:v>
                </c:pt>
                <c:pt idx="102">
                  <c:v>17710</c:v>
                </c:pt>
                <c:pt idx="103">
                  <c:v>55603</c:v>
                </c:pt>
                <c:pt idx="104">
                  <c:v>25261</c:v>
                </c:pt>
                <c:pt idx="105">
                  <c:v>19067</c:v>
                </c:pt>
                <c:pt idx="106">
                  <c:v>47481</c:v>
                </c:pt>
                <c:pt idx="107">
                  <c:v>37037</c:v>
                </c:pt>
                <c:pt idx="108">
                  <c:v>19435</c:v>
                </c:pt>
                <c:pt idx="109">
                  <c:v>47766</c:v>
                </c:pt>
                <c:pt idx="110">
                  <c:v>29675</c:v>
                </c:pt>
                <c:pt idx="111">
                  <c:v>18461</c:v>
                </c:pt>
                <c:pt idx="112">
                  <c:v>27015</c:v>
                </c:pt>
                <c:pt idx="113">
                  <c:v>38047</c:v>
                </c:pt>
                <c:pt idx="114">
                  <c:v>44782</c:v>
                </c:pt>
                <c:pt idx="115">
                  <c:v>19833</c:v>
                </c:pt>
                <c:pt idx="116">
                  <c:v>17896</c:v>
                </c:pt>
                <c:pt idx="117">
                  <c:v>42972</c:v>
                </c:pt>
                <c:pt idx="118">
                  <c:v>59733</c:v>
                </c:pt>
                <c:pt idx="119">
                  <c:v>15347</c:v>
                </c:pt>
                <c:pt idx="120">
                  <c:v>12643</c:v>
                </c:pt>
                <c:pt idx="121">
                  <c:v>28681</c:v>
                </c:pt>
                <c:pt idx="122">
                  <c:v>48328</c:v>
                </c:pt>
                <c:pt idx="123">
                  <c:v>25892</c:v>
                </c:pt>
                <c:pt idx="124">
                  <c:v>57299</c:v>
                </c:pt>
                <c:pt idx="125">
                  <c:v>27073</c:v>
                </c:pt>
                <c:pt idx="126">
                  <c:v>46768</c:v>
                </c:pt>
                <c:pt idx="127">
                  <c:v>40682</c:v>
                </c:pt>
                <c:pt idx="128">
                  <c:v>42262</c:v>
                </c:pt>
                <c:pt idx="129">
                  <c:v>41358</c:v>
                </c:pt>
                <c:pt idx="130">
                  <c:v>58330</c:v>
                </c:pt>
                <c:pt idx="131">
                  <c:v>21918</c:v>
                </c:pt>
                <c:pt idx="132">
                  <c:v>49110</c:v>
                </c:pt>
                <c:pt idx="133">
                  <c:v>21929</c:v>
                </c:pt>
                <c:pt idx="134">
                  <c:v>55951</c:v>
                </c:pt>
                <c:pt idx="135">
                  <c:v>32669</c:v>
                </c:pt>
                <c:pt idx="136">
                  <c:v>30644</c:v>
                </c:pt>
                <c:pt idx="137">
                  <c:v>28745</c:v>
                </c:pt>
                <c:pt idx="138">
                  <c:v>38228</c:v>
                </c:pt>
                <c:pt idx="139">
                  <c:v>41703</c:v>
                </c:pt>
              </c:numCache>
            </c:numRef>
          </c:xVal>
          <c:yVal>
            <c:numRef>
              <c:f>Task6.4!$I$2:$I$141</c:f>
              <c:numCache>
                <c:formatCode>#,##0.00</c:formatCode>
                <c:ptCount val="140"/>
                <c:pt idx="0">
                  <c:v>3777</c:v>
                </c:pt>
                <c:pt idx="1">
                  <c:v>7432</c:v>
                </c:pt>
                <c:pt idx="2">
                  <c:v>8123</c:v>
                </c:pt>
                <c:pt idx="3">
                  <c:v>7215</c:v>
                </c:pt>
                <c:pt idx="4">
                  <c:v>7478</c:v>
                </c:pt>
                <c:pt idx="5">
                  <c:v>4934</c:v>
                </c:pt>
                <c:pt idx="6">
                  <c:v>7452</c:v>
                </c:pt>
                <c:pt idx="7">
                  <c:v>6073</c:v>
                </c:pt>
                <c:pt idx="8">
                  <c:v>6728</c:v>
                </c:pt>
                <c:pt idx="9">
                  <c:v>8654</c:v>
                </c:pt>
                <c:pt idx="10">
                  <c:v>4885</c:v>
                </c:pt>
                <c:pt idx="11">
                  <c:v>8653</c:v>
                </c:pt>
                <c:pt idx="12">
                  <c:v>5442</c:v>
                </c:pt>
                <c:pt idx="13">
                  <c:v>8463</c:v>
                </c:pt>
                <c:pt idx="14">
                  <c:v>3202</c:v>
                </c:pt>
                <c:pt idx="15">
                  <c:v>7151</c:v>
                </c:pt>
                <c:pt idx="16">
                  <c:v>1918</c:v>
                </c:pt>
                <c:pt idx="17">
                  <c:v>3586</c:v>
                </c:pt>
                <c:pt idx="18">
                  <c:v>7092</c:v>
                </c:pt>
                <c:pt idx="19">
                  <c:v>1826</c:v>
                </c:pt>
                <c:pt idx="20">
                  <c:v>7429</c:v>
                </c:pt>
                <c:pt idx="21">
                  <c:v>7733</c:v>
                </c:pt>
                <c:pt idx="22">
                  <c:v>9082</c:v>
                </c:pt>
                <c:pt idx="23">
                  <c:v>1741</c:v>
                </c:pt>
                <c:pt idx="24">
                  <c:v>3445</c:v>
                </c:pt>
                <c:pt idx="25">
                  <c:v>6039</c:v>
                </c:pt>
                <c:pt idx="26">
                  <c:v>3213</c:v>
                </c:pt>
                <c:pt idx="27">
                  <c:v>3497</c:v>
                </c:pt>
                <c:pt idx="28">
                  <c:v>2543</c:v>
                </c:pt>
                <c:pt idx="29">
                  <c:v>4847</c:v>
                </c:pt>
                <c:pt idx="30">
                  <c:v>5795</c:v>
                </c:pt>
                <c:pt idx="31">
                  <c:v>6853</c:v>
                </c:pt>
                <c:pt idx="32">
                  <c:v>7033</c:v>
                </c:pt>
                <c:pt idx="33">
                  <c:v>6920</c:v>
                </c:pt>
                <c:pt idx="34">
                  <c:v>5071</c:v>
                </c:pt>
                <c:pt idx="35">
                  <c:v>1513</c:v>
                </c:pt>
                <c:pt idx="36">
                  <c:v>5753</c:v>
                </c:pt>
                <c:pt idx="37">
                  <c:v>8231</c:v>
                </c:pt>
                <c:pt idx="38">
                  <c:v>5303</c:v>
                </c:pt>
                <c:pt idx="39">
                  <c:v>5520</c:v>
                </c:pt>
                <c:pt idx="40">
                  <c:v>6593</c:v>
                </c:pt>
                <c:pt idx="41">
                  <c:v>8228</c:v>
                </c:pt>
                <c:pt idx="42">
                  <c:v>7442</c:v>
                </c:pt>
                <c:pt idx="43">
                  <c:v>9118</c:v>
                </c:pt>
                <c:pt idx="44">
                  <c:v>6121</c:v>
                </c:pt>
                <c:pt idx="45">
                  <c:v>7224</c:v>
                </c:pt>
                <c:pt idx="46">
                  <c:v>2199</c:v>
                </c:pt>
                <c:pt idx="47">
                  <c:v>3925</c:v>
                </c:pt>
                <c:pt idx="48">
                  <c:v>1309</c:v>
                </c:pt>
                <c:pt idx="49">
                  <c:v>4942</c:v>
                </c:pt>
                <c:pt idx="50">
                  <c:v>8361</c:v>
                </c:pt>
                <c:pt idx="51">
                  <c:v>5698</c:v>
                </c:pt>
                <c:pt idx="52">
                  <c:v>2421</c:v>
                </c:pt>
                <c:pt idx="53">
                  <c:v>6201</c:v>
                </c:pt>
                <c:pt idx="54">
                  <c:v>4808</c:v>
                </c:pt>
                <c:pt idx="55">
                  <c:v>7767</c:v>
                </c:pt>
                <c:pt idx="56">
                  <c:v>7115</c:v>
                </c:pt>
                <c:pt idx="57">
                  <c:v>7565</c:v>
                </c:pt>
                <c:pt idx="58">
                  <c:v>6918</c:v>
                </c:pt>
                <c:pt idx="59">
                  <c:v>6439</c:v>
                </c:pt>
                <c:pt idx="60">
                  <c:v>6452</c:v>
                </c:pt>
                <c:pt idx="61">
                  <c:v>7218</c:v>
                </c:pt>
                <c:pt idx="62">
                  <c:v>3056</c:v>
                </c:pt>
                <c:pt idx="63">
                  <c:v>4942</c:v>
                </c:pt>
                <c:pt idx="64">
                  <c:v>1017</c:v>
                </c:pt>
                <c:pt idx="65">
                  <c:v>4882</c:v>
                </c:pt>
                <c:pt idx="66">
                  <c:v>5220</c:v>
                </c:pt>
                <c:pt idx="67">
                  <c:v>5206</c:v>
                </c:pt>
                <c:pt idx="68">
                  <c:v>6384</c:v>
                </c:pt>
                <c:pt idx="69">
                  <c:v>3179</c:v>
                </c:pt>
                <c:pt idx="70">
                  <c:v>8485</c:v>
                </c:pt>
                <c:pt idx="71">
                  <c:v>8945</c:v>
                </c:pt>
                <c:pt idx="72">
                  <c:v>5143</c:v>
                </c:pt>
                <c:pt idx="73">
                  <c:v>1369</c:v>
                </c:pt>
                <c:pt idx="74">
                  <c:v>5402</c:v>
                </c:pt>
                <c:pt idx="75">
                  <c:v>3929</c:v>
                </c:pt>
                <c:pt idx="76">
                  <c:v>6642</c:v>
                </c:pt>
                <c:pt idx="77">
                  <c:v>3461</c:v>
                </c:pt>
                <c:pt idx="78">
                  <c:v>4790</c:v>
                </c:pt>
                <c:pt idx="79">
                  <c:v>949</c:v>
                </c:pt>
                <c:pt idx="80">
                  <c:v>3592</c:v>
                </c:pt>
                <c:pt idx="81">
                  <c:v>8527</c:v>
                </c:pt>
                <c:pt idx="82">
                  <c:v>6275</c:v>
                </c:pt>
                <c:pt idx="83">
                  <c:v>1367</c:v>
                </c:pt>
                <c:pt idx="84">
                  <c:v>4314</c:v>
                </c:pt>
                <c:pt idx="85">
                  <c:v>7328</c:v>
                </c:pt>
                <c:pt idx="86">
                  <c:v>8200</c:v>
                </c:pt>
                <c:pt idx="87">
                  <c:v>4214</c:v>
                </c:pt>
                <c:pt idx="88">
                  <c:v>3079</c:v>
                </c:pt>
                <c:pt idx="89">
                  <c:v>9254</c:v>
                </c:pt>
                <c:pt idx="90">
                  <c:v>7668</c:v>
                </c:pt>
                <c:pt idx="91">
                  <c:v>8601</c:v>
                </c:pt>
                <c:pt idx="92">
                  <c:v>7471</c:v>
                </c:pt>
                <c:pt idx="93">
                  <c:v>2919</c:v>
                </c:pt>
                <c:pt idx="94">
                  <c:v>7346</c:v>
                </c:pt>
                <c:pt idx="95">
                  <c:v>1001</c:v>
                </c:pt>
                <c:pt idx="96">
                  <c:v>8518</c:v>
                </c:pt>
                <c:pt idx="97">
                  <c:v>7654</c:v>
                </c:pt>
                <c:pt idx="98">
                  <c:v>7260</c:v>
                </c:pt>
                <c:pt idx="99">
                  <c:v>6361</c:v>
                </c:pt>
                <c:pt idx="100">
                  <c:v>3643</c:v>
                </c:pt>
                <c:pt idx="101">
                  <c:v>3805</c:v>
                </c:pt>
                <c:pt idx="102">
                  <c:v>8128</c:v>
                </c:pt>
                <c:pt idx="103">
                  <c:v>3420</c:v>
                </c:pt>
                <c:pt idx="104">
                  <c:v>1020</c:v>
                </c:pt>
                <c:pt idx="105">
                  <c:v>1290</c:v>
                </c:pt>
                <c:pt idx="106">
                  <c:v>5101</c:v>
                </c:pt>
                <c:pt idx="107">
                  <c:v>5439</c:v>
                </c:pt>
                <c:pt idx="108">
                  <c:v>9125</c:v>
                </c:pt>
                <c:pt idx="109">
                  <c:v>8979</c:v>
                </c:pt>
                <c:pt idx="110">
                  <c:v>6631</c:v>
                </c:pt>
                <c:pt idx="111">
                  <c:v>7432</c:v>
                </c:pt>
                <c:pt idx="112">
                  <c:v>2081</c:v>
                </c:pt>
                <c:pt idx="113">
                  <c:v>8723</c:v>
                </c:pt>
                <c:pt idx="114">
                  <c:v>2994</c:v>
                </c:pt>
                <c:pt idx="115">
                  <c:v>3555</c:v>
                </c:pt>
                <c:pt idx="116">
                  <c:v>2535</c:v>
                </c:pt>
                <c:pt idx="117">
                  <c:v>7509</c:v>
                </c:pt>
                <c:pt idx="118">
                  <c:v>8292</c:v>
                </c:pt>
                <c:pt idx="119">
                  <c:v>9044</c:v>
                </c:pt>
                <c:pt idx="120">
                  <c:v>4189</c:v>
                </c:pt>
                <c:pt idx="121">
                  <c:v>6272</c:v>
                </c:pt>
                <c:pt idx="122">
                  <c:v>6128</c:v>
                </c:pt>
                <c:pt idx="123">
                  <c:v>1567</c:v>
                </c:pt>
                <c:pt idx="124">
                  <c:v>1660</c:v>
                </c:pt>
                <c:pt idx="125">
                  <c:v>6434</c:v>
                </c:pt>
                <c:pt idx="126">
                  <c:v>4542</c:v>
                </c:pt>
                <c:pt idx="127">
                  <c:v>8319</c:v>
                </c:pt>
                <c:pt idx="128">
                  <c:v>1425</c:v>
                </c:pt>
                <c:pt idx="129">
                  <c:v>7849</c:v>
                </c:pt>
                <c:pt idx="130">
                  <c:v>5491</c:v>
                </c:pt>
                <c:pt idx="131">
                  <c:v>7058</c:v>
                </c:pt>
                <c:pt idx="132">
                  <c:v>1512</c:v>
                </c:pt>
                <c:pt idx="133">
                  <c:v>2926</c:v>
                </c:pt>
                <c:pt idx="134">
                  <c:v>893</c:v>
                </c:pt>
                <c:pt idx="135">
                  <c:v>5210</c:v>
                </c:pt>
                <c:pt idx="136">
                  <c:v>7959</c:v>
                </c:pt>
                <c:pt idx="137">
                  <c:v>2805</c:v>
                </c:pt>
                <c:pt idx="138">
                  <c:v>7025</c:v>
                </c:pt>
                <c:pt idx="139">
                  <c:v>7436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8-461E-AFA0-3D9A22B82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972048"/>
        <c:axId val="1446962928"/>
      </c:scatterChart>
      <c:valAx>
        <c:axId val="144697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</a:t>
                </a:r>
                <a:r>
                  <a:rPr lang="en-IN" baseline="0"/>
                  <a:t>_spend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62928"/>
        <c:crosses val="autoZero"/>
        <c:crossBetween val="midCat"/>
      </c:valAx>
      <c:valAx>
        <c:axId val="14469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Weekly</a:t>
                </a:r>
                <a:r>
                  <a:rPr lang="en-IN" baseline="0"/>
                  <a:t> Net Followers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97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155864</xdr:rowOff>
    </xdr:from>
    <xdr:ext cx="3082637" cy="219940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139A5A6-84C2-8929-8C82-1FFD0D7A6373}"/>
            </a:ext>
          </a:extLst>
        </xdr:cNvPr>
        <xdr:cNvSpPr txBox="1"/>
      </xdr:nvSpPr>
      <xdr:spPr>
        <a:xfrm>
          <a:off x="2606386" y="155864"/>
          <a:ext cx="3082637" cy="2199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/>
            <a:t>As there are no</a:t>
          </a:r>
          <a:r>
            <a:rPr lang="en-IN" sz="2000" baseline="0"/>
            <a:t> tesla posts available identifying top10 tesla posts with highest engagement cannot be done.</a:t>
          </a:r>
          <a:endParaRPr lang="en-IN" sz="20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601200" cy="3331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77DB177-EE62-C0D3-E101-E488B3C6ACCB}"/>
            </a:ext>
          </a:extLst>
        </xdr:cNvPr>
        <xdr:cNvSpPr txBox="1"/>
      </xdr:nvSpPr>
      <xdr:spPr>
        <a:xfrm>
          <a:off x="0" y="0"/>
          <a:ext cx="9601200" cy="333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/>
            <a:t>Pivot table showing toatl likes,shares,comments</a:t>
          </a:r>
          <a:r>
            <a:rPr lang="en-IN" sz="2000" baseline="0"/>
            <a:t> by content type and platform.</a:t>
          </a:r>
          <a:endParaRPr lang="en-IN" sz="2000"/>
        </a:p>
      </xdr:txBody>
    </xdr:sp>
    <xdr:clientData/>
  </xdr:oneCellAnchor>
  <xdr:oneCellAnchor>
    <xdr:from>
      <xdr:col>0</xdr:col>
      <xdr:colOff>26581</xdr:colOff>
      <xdr:row>18</xdr:row>
      <xdr:rowOff>8860</xdr:rowOff>
    </xdr:from>
    <xdr:ext cx="4890977" cy="37088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5DF54A7-2388-43DE-DC8D-B437B4AC2033}"/>
            </a:ext>
          </a:extLst>
        </xdr:cNvPr>
        <xdr:cNvSpPr txBox="1"/>
      </xdr:nvSpPr>
      <xdr:spPr>
        <a:xfrm>
          <a:off x="26581" y="3358116"/>
          <a:ext cx="4890977" cy="37088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800"/>
            <a:t>Pivot</a:t>
          </a:r>
          <a:r>
            <a:rPr lang="en-IN" sz="1800" baseline="0"/>
            <a:t> table showing average clicks per hashtag</a:t>
          </a:r>
          <a:endParaRPr lang="en-IN" sz="18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0</xdr:row>
      <xdr:rowOff>0</xdr:rowOff>
    </xdr:from>
    <xdr:ext cx="3550920" cy="4038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3E75978-99C3-E72D-2798-894A65C363F8}"/>
            </a:ext>
          </a:extLst>
        </xdr:cNvPr>
        <xdr:cNvSpPr txBox="1"/>
      </xdr:nvSpPr>
      <xdr:spPr>
        <a:xfrm>
          <a:off x="30480" y="0"/>
          <a:ext cx="3550920" cy="403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/>
            <a:t>Highlighting</a:t>
          </a:r>
          <a:r>
            <a:rPr lang="en-IN" sz="1600" baseline="0"/>
            <a:t> top performing hashtags.</a:t>
          </a:r>
          <a:endParaRPr lang="en-IN" sz="16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1623060</xdr:colOff>
      <xdr:row>1</xdr:row>
      <xdr:rowOff>152400</xdr:rowOff>
    </xdr:from>
    <xdr:ext cx="3764280" cy="12573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8F7377-5210-8A4C-E069-071EF5FFC6B4}"/>
            </a:ext>
          </a:extLst>
        </xdr:cNvPr>
        <xdr:cNvSpPr txBox="1"/>
      </xdr:nvSpPr>
      <xdr:spPr>
        <a:xfrm>
          <a:off x="2484120" y="335280"/>
          <a:ext cx="3764280" cy="1257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/>
            <a:t>Platform</a:t>
          </a:r>
          <a:r>
            <a:rPr lang="en-IN" sz="2000" baseline="0"/>
            <a:t> with the highest engagement is Youtube.</a:t>
          </a:r>
          <a:endParaRPr lang="en-IN" sz="20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586740</xdr:colOff>
      <xdr:row>4</xdr:row>
      <xdr:rowOff>22860</xdr:rowOff>
    </xdr:from>
    <xdr:ext cx="2613660" cy="12192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DD32E67-83FB-5D5B-8C87-48CDC9283071}"/>
            </a:ext>
          </a:extLst>
        </xdr:cNvPr>
        <xdr:cNvSpPr txBox="1"/>
      </xdr:nvSpPr>
      <xdr:spPr>
        <a:xfrm>
          <a:off x="3909060" y="754380"/>
          <a:ext cx="2613660" cy="12192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/>
            <a:t>Comparing follower</a:t>
          </a:r>
          <a:r>
            <a:rPr lang="en-IN" sz="1600" baseline="0"/>
            <a:t> growth rate across various platforms.</a:t>
          </a:r>
          <a:endParaRPr lang="en-IN" sz="16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14</xdr:row>
      <xdr:rowOff>19050</xdr:rowOff>
    </xdr:from>
    <xdr:to>
      <xdr:col>5</xdr:col>
      <xdr:colOff>160020</xdr:colOff>
      <xdr:row>29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BC8FD9-1F2A-7344-72A5-981328F9A0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11</xdr:row>
      <xdr:rowOff>15240</xdr:rowOff>
    </xdr:from>
    <xdr:ext cx="4572000" cy="3733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72B047-1CA5-A78E-9EEA-E551BB844F05}"/>
            </a:ext>
          </a:extLst>
        </xdr:cNvPr>
        <xdr:cNvSpPr txBox="1"/>
      </xdr:nvSpPr>
      <xdr:spPr>
        <a:xfrm>
          <a:off x="861060" y="2026920"/>
          <a:ext cx="4572000" cy="373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/>
            <a:t>Engagement vs Ad_Spend per platform insight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335280</xdr:colOff>
      <xdr:row>6</xdr:row>
      <xdr:rowOff>167640</xdr:rowOff>
    </xdr:from>
    <xdr:ext cx="4191000" cy="12268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95B22E-3B92-4440-B7EB-7C19F12D7B26}"/>
            </a:ext>
          </a:extLst>
        </xdr:cNvPr>
        <xdr:cNvSpPr txBox="1"/>
      </xdr:nvSpPr>
      <xdr:spPr>
        <a:xfrm>
          <a:off x="3383280" y="1264920"/>
          <a:ext cx="4191000" cy="12268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Apple</a:t>
          </a:r>
          <a:r>
            <a:rPr lang="en-IN" sz="1100" b="1" baseline="0"/>
            <a:t> should focus budgets and creative efforts on YouTube and Instagram(videos+visuals) because they deliver high engagement with good efficiency.</a:t>
          </a:r>
        </a:p>
        <a:p>
          <a:endParaRPr lang="en-IN" sz="1100"/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114300</xdr:colOff>
      <xdr:row>2</xdr:row>
      <xdr:rowOff>99060</xdr:rowOff>
    </xdr:from>
    <xdr:ext cx="3543300" cy="11658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42C6D4-EF22-C473-9CC1-183C9E38CF09}"/>
            </a:ext>
          </a:extLst>
        </xdr:cNvPr>
        <xdr:cNvSpPr txBox="1"/>
      </xdr:nvSpPr>
      <xdr:spPr>
        <a:xfrm>
          <a:off x="4213860" y="464820"/>
          <a:ext cx="3543300" cy="1165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The most frequently used Apple Hashtags</a:t>
          </a:r>
          <a:r>
            <a:rPr lang="en-IN" sz="1100" baseline="0"/>
            <a:t> are AppleDesign,AppleEvent,AppleMusic,AppleWatch.</a:t>
          </a:r>
        </a:p>
        <a:p>
          <a:endParaRPr lang="en-IN" sz="1100"/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601980</xdr:colOff>
      <xdr:row>4</xdr:row>
      <xdr:rowOff>76200</xdr:rowOff>
    </xdr:from>
    <xdr:ext cx="3985260" cy="13639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74D9BA-E36F-D6D8-4CCA-61244E4DB048}"/>
            </a:ext>
          </a:extLst>
        </xdr:cNvPr>
        <xdr:cNvSpPr txBox="1"/>
      </xdr:nvSpPr>
      <xdr:spPr>
        <a:xfrm>
          <a:off x="7924800" y="807720"/>
          <a:ext cx="3985260" cy="1363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By Comparing Average Performance</a:t>
          </a:r>
          <a:r>
            <a:rPr lang="en-IN" sz="1100" baseline="0"/>
            <a:t> of Posts containing each hashtag we can say that AppleDesign perfoms best.</a:t>
          </a:r>
          <a:endParaRPr lang="en-IN" sz="1100"/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58615</xdr:colOff>
      <xdr:row>13</xdr:row>
      <xdr:rowOff>21981</xdr:rowOff>
    </xdr:from>
    <xdr:ext cx="3363058" cy="179509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F112DE-6FB9-907E-B5F1-9DF4E1929A82}"/>
            </a:ext>
          </a:extLst>
        </xdr:cNvPr>
        <xdr:cNvSpPr txBox="1"/>
      </xdr:nvSpPr>
      <xdr:spPr>
        <a:xfrm>
          <a:off x="5487865" y="2403231"/>
          <a:ext cx="3363058" cy="17950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Task4.4:- Using</a:t>
          </a:r>
          <a:r>
            <a:rPr lang="en-IN" sz="1100" b="1" baseline="0"/>
            <a:t> Videos as the primary format on YouTube,Instagram and Linkedin and emphasizing high-impact images(and some carousels) on Twitter for maximum engagement.</a:t>
          </a:r>
        </a:p>
        <a:p>
          <a:endParaRPr lang="en-IN" sz="1100"/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115300" cy="3733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5ADA20-DC3A-4601-9EFA-A6246ED87002}"/>
            </a:ext>
          </a:extLst>
        </xdr:cNvPr>
        <xdr:cNvSpPr txBox="1"/>
      </xdr:nvSpPr>
      <xdr:spPr>
        <a:xfrm>
          <a:off x="0" y="0"/>
          <a:ext cx="8115300" cy="373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Total</a:t>
          </a:r>
          <a:r>
            <a:rPr lang="en-IN" sz="1100" b="1" baseline="0"/>
            <a:t> and Average Impressions,Likes,Clicks per Campaign</a:t>
          </a:r>
        </a:p>
        <a:p>
          <a:endParaRPr lang="en-IN" sz="1100"/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38100</xdr:colOff>
      <xdr:row>7</xdr:row>
      <xdr:rowOff>60960</xdr:rowOff>
    </xdr:from>
    <xdr:ext cx="2773680" cy="20497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301E2E-1047-98CB-DEBB-25948488773F}"/>
            </a:ext>
          </a:extLst>
        </xdr:cNvPr>
        <xdr:cNvSpPr txBox="1"/>
      </xdr:nvSpPr>
      <xdr:spPr>
        <a:xfrm>
          <a:off x="15392400" y="1287780"/>
          <a:ext cx="2773680" cy="20497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/>
            <a:t>Here Befor</a:t>
          </a:r>
          <a:r>
            <a:rPr lang="en-IN" sz="1600" baseline="0"/>
            <a:t>e and During Campaign periods are labelled according to the dates .For Before period I conisdered 4 weeks before dates.</a:t>
          </a:r>
          <a:endParaRPr lang="en-IN" sz="1600"/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22860</xdr:colOff>
      <xdr:row>0</xdr:row>
      <xdr:rowOff>91440</xdr:rowOff>
    </xdr:from>
    <xdr:ext cx="3886200" cy="425958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37B01-1D7E-D465-DE93-D6D2E699CF69}"/>
            </a:ext>
          </a:extLst>
        </xdr:cNvPr>
        <xdr:cNvSpPr txBox="1"/>
      </xdr:nvSpPr>
      <xdr:spPr>
        <a:xfrm>
          <a:off x="7680960" y="91440"/>
          <a:ext cx="3886200" cy="42595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/>
            <a:t>As there are no dates</a:t>
          </a:r>
          <a:r>
            <a:rPr lang="en-IN" sz="1100" baseline="0"/>
            <a:t> that fall under AppleEvent Campaign Period we can't calculate Uplift for that campaign.</a:t>
          </a:r>
        </a:p>
        <a:p>
          <a:r>
            <a:rPr lang="en-IN" sz="1100" baseline="0"/>
            <a:t>The calculated Engagement Uplifts for various Campaigns is as follows:-</a:t>
          </a:r>
        </a:p>
        <a:p>
          <a:r>
            <a:rPr lang="en-IN" sz="1100" baseline="0"/>
            <a:t>1.Iphone16:--31.12</a:t>
          </a:r>
        </a:p>
        <a:p>
          <a:r>
            <a:rPr lang="en-IN" sz="1100" baseline="0"/>
            <a:t>2.Macbook:--7.60</a:t>
          </a:r>
        </a:p>
        <a:p>
          <a:r>
            <a:rPr lang="en-IN" sz="1100" baseline="0"/>
            <a:t>3.AppleWatch:--3.80</a:t>
          </a:r>
        </a:p>
        <a:p>
          <a:r>
            <a:rPr lang="en-IN" sz="1100" baseline="0"/>
            <a:t>4.Sustainability:--0.78</a:t>
          </a:r>
        </a:p>
        <a:p>
          <a:endParaRPr lang="en-IN" sz="1100" baseline="0"/>
        </a:p>
        <a:p>
          <a:endParaRPr lang="en-IN" sz="1100" baseline="0"/>
        </a:p>
        <a:p>
          <a:endParaRPr lang="en-IN" sz="1100" baseline="0"/>
        </a:p>
        <a:p>
          <a:r>
            <a:rPr lang="en-IN" sz="1100" b="1" baseline="0"/>
            <a:t>Insights:-</a:t>
          </a:r>
        </a:p>
        <a:p>
          <a:r>
            <a:rPr lang="en-IN" sz="1100" b="1" baseline="0"/>
            <a:t>1.Sustainability is the comparatively best on engagement efficiency even though the uplift is still slightly negative.</a:t>
          </a:r>
        </a:p>
        <a:p>
          <a:endParaRPr lang="en-IN" sz="1100" b="1" baseline="0"/>
        </a:p>
        <a:p>
          <a:r>
            <a:rPr lang="en-IN" sz="1100" b="1" baseline="0"/>
            <a:t>2.The campaign that drove the strongest follower Growth is Iphone16.</a:t>
          </a:r>
        </a:p>
        <a:p>
          <a:endParaRPr lang="en-IN" sz="1100"/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564776</xdr:colOff>
      <xdr:row>3</xdr:row>
      <xdr:rowOff>152400</xdr:rowOff>
    </xdr:from>
    <xdr:ext cx="2599765" cy="1264024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EADC35-A820-B564-B568-169F702605A4}"/>
            </a:ext>
          </a:extLst>
        </xdr:cNvPr>
        <xdr:cNvSpPr txBox="1"/>
      </xdr:nvSpPr>
      <xdr:spPr>
        <a:xfrm>
          <a:off x="15930282" y="690282"/>
          <a:ext cx="2599765" cy="12640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/>
            <a:t>Net_New_Followers are calculated by</a:t>
          </a:r>
        </a:p>
        <a:p>
          <a:r>
            <a:rPr lang="en-IN" sz="1600"/>
            <a:t>( New_Followers-Unfollows</a:t>
          </a:r>
          <a:r>
            <a:rPr lang="en-IN" sz="1600" baseline="0"/>
            <a:t>).</a:t>
          </a:r>
          <a:endParaRPr lang="en-IN" sz="1600"/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8</xdr:row>
      <xdr:rowOff>60960</xdr:rowOff>
    </xdr:from>
    <xdr:to>
      <xdr:col>14</xdr:col>
      <xdr:colOff>563880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DB64A2-5BF3-AF51-C56B-43D6F89A7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</xdr:colOff>
      <xdr:row>4</xdr:row>
      <xdr:rowOff>30480</xdr:rowOff>
    </xdr:from>
    <xdr:ext cx="3276600" cy="171450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361544B-A310-B940-10A4-6DA2BD1D2ADF}"/>
            </a:ext>
          </a:extLst>
        </xdr:cNvPr>
        <xdr:cNvSpPr txBox="1"/>
      </xdr:nvSpPr>
      <xdr:spPr>
        <a:xfrm>
          <a:off x="15979140" y="731520"/>
          <a:ext cx="3276600" cy="1714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After Filtering the Net_New</a:t>
          </a:r>
          <a:r>
            <a:rPr lang="en-IN" sz="1100" b="1" baseline="0"/>
            <a:t> Followers Column the peek week of follower gain is the 2nd week of January 2025 .</a:t>
          </a:r>
          <a:endParaRPr lang="en-IN" sz="1100" b="1"/>
        </a:p>
      </xdr:txBody>
    </xdr:sp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534144</xdr:colOff>
      <xdr:row>4</xdr:row>
      <xdr:rowOff>122619</xdr:rowOff>
    </xdr:from>
    <xdr:to>
      <xdr:col>24</xdr:col>
      <xdr:colOff>132907</xdr:colOff>
      <xdr:row>32</xdr:row>
      <xdr:rowOff>26275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21AEB-9915-C28C-E919-6878E5B18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24</xdr:col>
      <xdr:colOff>1550481</xdr:colOff>
      <xdr:row>9</xdr:row>
      <xdr:rowOff>25462</xdr:rowOff>
    </xdr:from>
    <xdr:ext cx="4773447" cy="200572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A65F4CB-97D6-95F9-2BF1-B6C9C2F59C7C}"/>
            </a:ext>
          </a:extLst>
        </xdr:cNvPr>
        <xdr:cNvSpPr txBox="1"/>
      </xdr:nvSpPr>
      <xdr:spPr>
        <a:xfrm rot="10800000" flipV="1">
          <a:off x="27281272" y="1620346"/>
          <a:ext cx="4773447" cy="20057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2000"/>
            <a:t>This smoothed</a:t>
          </a:r>
          <a:r>
            <a:rPr lang="en-IN" sz="2000" baseline="0"/>
            <a:t> line reduces week to week noise and shows that follower growth is generally in the 4000-8000 range with noticeable dips and peaks during certain campaign periods.</a:t>
          </a:r>
          <a:endParaRPr lang="en-IN" sz="2000"/>
        </a:p>
      </xdr:txBody>
    </xdr:sp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166487</xdr:colOff>
      <xdr:row>3</xdr:row>
      <xdr:rowOff>34636</xdr:rowOff>
    </xdr:from>
    <xdr:to>
      <xdr:col>19</xdr:col>
      <xdr:colOff>519544</xdr:colOff>
      <xdr:row>25</xdr:row>
      <xdr:rowOff>17318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99CFC8-9BC9-ED8A-8DD8-8A8398AE2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605463194443" createdVersion="8" refreshedVersion="8" minRefreshableVersion="3" recordCount="602" xr:uid="{A04C5DE4-A44F-4149-A08A-EB0103457D32}">
  <cacheSource type="worksheet">
    <worksheetSource ref="A1:N1048576" sheet="Task1"/>
  </cacheSource>
  <cacheFields count="14">
    <cacheField name="PostID" numFmtId="0">
      <sharedItems containsBlank="1"/>
    </cacheField>
    <cacheField name="Platform" numFmtId="0">
      <sharedItems containsBlank="1" count="5">
        <s v="YouTube"/>
        <s v="LinkedIn"/>
        <s v="Instagram"/>
        <s v="Twitter"/>
        <m/>
      </sharedItems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 count="5">
        <s v="Image"/>
        <s v="Tweet"/>
        <s v="Video"/>
        <s v="Carousel"/>
        <m/>
      </sharedItems>
    </cacheField>
    <cacheField name="Hashtag1" numFmtId="0">
      <sharedItems containsBlank="1"/>
    </cacheField>
    <cacheField name="Hashtag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 Rate" numFmtId="0">
      <sharedItems containsString="0" containsBlank="1" containsNumber="1" minValue="1.6616512501514722" maxValue="49.054105563022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609506134257" createdVersion="8" refreshedVersion="8" minRefreshableVersion="3" recordCount="300" xr:uid="{FA73334B-E1A7-4682-9684-30B1927DED55}">
  <cacheSource type="worksheet">
    <worksheetSource ref="A1:N301" sheet="Task1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4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1" numFmtId="4">
      <sharedItems count="11">
        <s v="AppleWatchUltra2 "/>
        <s v="MacBookAirM3 "/>
        <s v="AppleDesign "/>
        <s v="AppleEvent "/>
        <s v="ShotOniPhone"/>
        <s v="AppleMusic "/>
        <s v="AppleWatch "/>
        <s v="iPhone16Launch "/>
        <s v="iPhonePhotography "/>
        <s v="MacBookProM3"/>
        <s v="Sustainability "/>
      </sharedItems>
    </cacheField>
    <cacheField name="Hashtag2" numFmtId="4">
      <sharedItems containsBlank="1" count="11">
        <s v="HealthTech"/>
        <s v="AppleInnovation"/>
        <s v="Innovation"/>
        <s v="iPadPro"/>
        <m/>
        <s v="AppleLifestyle"/>
        <s v="Health"/>
        <s v="AppleEvent"/>
        <s v="iPhone16"/>
        <s v="ShotOniPhone"/>
        <s v="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 count="5">
        <s v="Apple Watch Ultra 2 Launch"/>
        <s v="Apple Event September 2025"/>
        <s v="Sustainability Awareness Drive"/>
        <s v="iPhone 16 Launch"/>
        <s v="MacBook Air M3 Campaign"/>
      </sharedItems>
    </cacheField>
    <cacheField name="Engagement Rate" numFmtId="4">
      <sharedItems containsSemiMixedTypes="0" containsString="0" containsNumber="1" minValue="1.6616512501514722" maxValue="49.054105563022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622660879628" createdVersion="8" refreshedVersion="8" minRefreshableVersion="3" recordCount="140" xr:uid="{BE4CD8A6-EB68-469E-9516-6CA5C9F93738}">
  <cacheSource type="worksheet">
    <worksheetSource ref="A1:H141" sheet="EnSheet"/>
  </cacheSource>
  <cacheFields count="8">
    <cacheField name="Week_Start_Date" numFmtId="164">
      <sharedItems/>
    </cacheField>
    <cacheField name="Platform" numFmtId="0">
      <sharedItems count="4">
        <s v="Instagram"/>
        <s v="Twitter"/>
        <s v="YouTube"/>
        <s v="LinkedIn"/>
      </sharedItems>
    </cacheField>
    <cacheField name="New_Followers" numFmtId="4">
      <sharedItems containsSemiMixedTypes="0" containsString="0" containsNumber="1" containsInteger="1" minValue="1016" maxValue="9984"/>
    </cacheField>
    <cacheField name="Unfollows" numFmtId="4">
      <sharedItems containsSemiMixedTypes="0" containsString="0" containsNumber="1" containsInteger="1" minValue="67" maxValue="1417"/>
    </cacheField>
    <cacheField name="Total_Followers" numFmtId="4">
      <sharedItems containsSemiMixedTypes="0" containsString="0" containsNumber="1" containsInteger="1" minValue="103777" maxValue="1186398"/>
    </cacheField>
    <cacheField name="Engagement_Rate" numFmtId="10">
      <sharedItems containsSemiMixedTypes="0" containsString="0" containsNumber="1" minValue="1.381177897889402" maxValue="92.312204605638044"/>
    </cacheField>
    <cacheField name="Correct Eg_rate" numFmtId="10">
      <sharedItems containsSemiMixedTypes="0" containsString="0" containsNumber="1" minValue="1.381177897889402E-2" maxValue="0.92312204605638049"/>
    </cacheField>
    <cacheField name="Ad_Spend" numFmtId="165">
      <sharedItems containsSemiMixedTypes="0" containsString="0" containsNumber="1" containsInteger="1" minValue="10541" maxValue="59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629910069445" createdVersion="8" refreshedVersion="8" minRefreshableVersion="3" recordCount="1000" xr:uid="{C6DC9FDA-5F51-44ED-B341-7923BFA651F4}">
  <cacheSource type="worksheet">
    <worksheetSource ref="A1:H1048576" sheet="EnSheet"/>
  </cacheSource>
  <cacheFields count="9">
    <cacheField name="Week_Start_Date" numFmtId="0">
      <sharedItems containsBlank="1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Follower Growth Rate" numFmtId="0">
      <sharedItems containsString="0" containsBlank="1" containsNumber="1" minValue="7.7465246904209403E-4" maxValue="6.8070592967519189E-2"/>
    </cacheField>
    <cacheField name="Engagement_Rate" numFmtId="0">
      <sharedItems containsString="0" containsBlank="1" containsNumber="1" minValue="1.381177897889402" maxValue="92.312204605638044"/>
    </cacheField>
    <cacheField name="Correct Eg_rate" numFmtId="0">
      <sharedItems containsString="0" containsBlank="1" containsNumber="1" minValue="1.381177897889402E-2" maxValue="0.92312204605638049"/>
    </cacheField>
    <cacheField name="Ad_Spend" numFmtId="0">
      <sharedItems containsString="0" containsBlank="1" containsNumber="1" containsInteger="1" minValue="10541" maxValue="598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770424884256" createdVersion="8" refreshedVersion="8" minRefreshableVersion="3" recordCount="301" xr:uid="{D3719E96-31FA-4441-912B-7CD698A7B293}">
  <cacheSource type="worksheet">
    <worksheetSource ref="A1:N1048576" sheet="Task4.1"/>
  </cacheSource>
  <cacheFields count="14">
    <cacheField name="PostID" numFmtId="0">
      <sharedItems containsBlank="1"/>
    </cacheField>
    <cacheField name="Platform" numFmtId="0">
      <sharedItems containsBlank="1"/>
    </cacheField>
    <cacheField name="Date" numFmtId="0">
      <sharedItems containsDate="1" containsBlank="1" containsMixedTypes="1" minDate="2025-09-03T00:00:00" maxDate="2025-10-16T00:00:00"/>
    </cacheField>
    <cacheField name="ContentType" numFmtId="0">
      <sharedItems containsBlank="1"/>
    </cacheField>
    <cacheField name="Hashtag1" numFmtId="0">
      <sharedItems containsBlank="1" count="12">
        <s v="AppleWatchUltra2 "/>
        <s v="MacBookAirM3 "/>
        <s v="AppleDesign "/>
        <s v="AppleEvent "/>
        <s v="ShotOniPhone"/>
        <s v="AppleMusic "/>
        <s v="AppleWatch "/>
        <s v="iPhone16Launch "/>
        <s v="iPhonePhotography "/>
        <s v="MacBookProM3"/>
        <s v="Sustainability "/>
        <m/>
      </sharedItems>
    </cacheField>
    <cacheField name="Hashtag2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 Rate" numFmtId="0">
      <sharedItems containsString="0" containsBlank="1" containsNumber="1" minValue="1.6616512501514722" maxValue="49.054105563022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1.773274537038" createdVersion="8" refreshedVersion="8" minRefreshableVersion="3" recordCount="300" xr:uid="{8F5F59F1-4BAF-49B2-AF8A-B495A6DD4FDA}">
  <cacheSource type="worksheet">
    <worksheetSource ref="A1:N301" sheet="Task4.1"/>
  </cacheSource>
  <cacheFields count="14">
    <cacheField name="PostID" numFmtId="0">
      <sharedItems/>
    </cacheField>
    <cacheField name="Platform" numFmtId="0">
      <sharedItems/>
    </cacheField>
    <cacheField name="Date" numFmtId="164">
      <sharedItems containsDate="1" containsMixedTypes="1" minDate="2025-09-03T00:00:00" maxDate="2025-10-16T00:00:00"/>
    </cacheField>
    <cacheField name="ContentType" numFmtId="0">
      <sharedItems/>
    </cacheField>
    <cacheField name="Hashtag1" numFmtId="4">
      <sharedItems count="11">
        <s v="AppleWatchUltra2 "/>
        <s v="MacBookAirM3 "/>
        <s v="AppleDesign "/>
        <s v="AppleEvent "/>
        <s v="ShotOniPhone"/>
        <s v="AppleMusic "/>
        <s v="AppleWatch "/>
        <s v="iPhone16Launch "/>
        <s v="iPhonePhotography "/>
        <s v="MacBookProM3"/>
        <s v="Sustainability "/>
      </sharedItems>
    </cacheField>
    <cacheField name="Hashtag2" numFmtId="4">
      <sharedItems containsBlank="1"/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3">
      <sharedItems containsSemiMixedTypes="0" containsString="0" containsNumber="1" containsInteger="1" minValue="301" maxValue="2936"/>
    </cacheField>
    <cacheField name="Reach" numFmtId="3">
      <sharedItems containsSemiMixedTypes="0" containsString="0" containsNumber="1" containsInteger="1" minValue="7" maxValue="97772"/>
    </cacheField>
    <cacheField name="Impressions" numFmtId="3">
      <sharedItems containsSemiMixedTypes="0" containsString="0" containsNumber="1" containsInteger="1" minValue="40281" maxValue="249988"/>
    </cacheField>
    <cacheField name="Campaign" numFmtId="0">
      <sharedItems/>
    </cacheField>
    <cacheField name="Engagement Rate" numFmtId="4">
      <sharedItems containsSemiMixedTypes="0" containsString="0" containsNumber="1" minValue="1.6616512501514722" maxValue="49.0541055630228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2.440769328707" createdVersion="8" refreshedVersion="8" minRefreshableVersion="3" recordCount="208" xr:uid="{8BB6DEDD-C29B-4665-A795-FDBEB51A80ED}">
  <cacheSource type="worksheet">
    <worksheetSource ref="A1:I1048576" sheet="Task5.1 Engagement Uplift"/>
  </cacheSource>
  <cacheFields count="9">
    <cacheField name="Week_Start_Date" numFmtId="0">
      <sharedItems containsBlank="1"/>
    </cacheField>
    <cacheField name="Platform" numFmtId="0">
      <sharedItems containsBlank="1"/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Follower Growth Rate" numFmtId="0">
      <sharedItems containsString="0" containsBlank="1" containsNumber="1" minValue="7.7465246904209403E-4" maxValue="6.8070592967519189E-2"/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541" maxValue="59815"/>
    </cacheField>
    <cacheField name="Campaign Period" numFmtId="0">
      <sharedItems containsBlank="1" count="9">
        <s v="Before Iphone16"/>
        <s v="During Iphone16"/>
        <m/>
        <s v="Before Macbook"/>
        <s v="During Macbook"/>
        <s v="Before AppleWatch"/>
        <s v="During AppleWatch"/>
        <s v="Before Sustainability"/>
        <s v="During Sustainabilit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eha" refreshedDate="46002.480108217591" createdVersion="8" refreshedVersion="8" minRefreshableVersion="3" recordCount="208" xr:uid="{E25E68B1-8F37-40F9-A8D2-039B64436DB2}">
  <cacheSource type="worksheet">
    <worksheetSource ref="A1:I1048576" sheet="Task6.1"/>
  </cacheSource>
  <cacheFields count="9">
    <cacheField name="Week_Start_Date" numFmtId="0">
      <sharedItems containsBlank="1" count="51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  <m/>
      </sharedItems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0">
      <sharedItems containsString="0" containsBlank="1" containsNumber="1" containsInteger="1" minValue="1016" maxValue="9984"/>
    </cacheField>
    <cacheField name="Unfollows" numFmtId="0">
      <sharedItems containsString="0" containsBlank="1" containsNumber="1" containsInteger="1" minValue="67" maxValue="1417"/>
    </cacheField>
    <cacheField name="Total_Followers" numFmtId="0">
      <sharedItems containsString="0" containsBlank="1" containsNumber="1" containsInteger="1" minValue="103777" maxValue="1186398"/>
    </cacheField>
    <cacheField name="Follower Growth Rate" numFmtId="0">
      <sharedItems containsString="0" containsBlank="1" containsNumber="1" minValue="7.7465246904209403E-4" maxValue="6.8070592967519189E-2"/>
    </cacheField>
    <cacheField name="Engagement_Rate" numFmtId="0">
      <sharedItems containsString="0" containsBlank="1" containsNumber="1" minValue="1.381177897889402" maxValue="92.312204605638044"/>
    </cacheField>
    <cacheField name="Ad_Spend" numFmtId="0">
      <sharedItems containsString="0" containsBlank="1" containsNumber="1" containsInteger="1" minValue="10541" maxValue="59815"/>
    </cacheField>
    <cacheField name="Net_New_Followers" numFmtId="0">
      <sharedItems containsString="0" containsBlank="1" containsNumber="1" containsInteger="1" minValue="893" maxValue="92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">
  <r>
    <s v="A1"/>
    <x v="0"/>
    <s v="2024-12-23"/>
    <x v="0"/>
    <s v="AppleWatchUltra2 "/>
    <s v="HealthTech"/>
    <n v="24516"/>
    <n v="976"/>
    <n v="974"/>
    <n v="2675"/>
    <n v="23275"/>
    <n v="202932"/>
    <s v="Apple Watch Ultra 2 Launch"/>
    <n v="13.041807107799658"/>
  </r>
  <r>
    <s v="A2"/>
    <x v="1"/>
    <d v="2025-09-03T00:00:00"/>
    <x v="0"/>
    <s v="MacBookAirM3 "/>
    <s v="AppleInnovation"/>
    <n v="4779"/>
    <n v="1110"/>
    <n v="436"/>
    <n v="1574"/>
    <n v="77167"/>
    <n v="71585"/>
    <s v="Apple Event September 2025"/>
    <n v="8.8356499266606132"/>
  </r>
  <r>
    <s v="A3"/>
    <x v="2"/>
    <s v="2025-05-12"/>
    <x v="1"/>
    <s v="AppleDesign "/>
    <s v="Innovation"/>
    <n v="19308"/>
    <n v="1318"/>
    <n v="795"/>
    <n v="1499"/>
    <n v="52307"/>
    <n v="193087"/>
    <s v="Sustainability Awareness Drive"/>
    <n v="11.093962825047775"/>
  </r>
  <r>
    <s v="A4"/>
    <x v="0"/>
    <s v="2024-08-12"/>
    <x v="2"/>
    <s v="AppleEvent "/>
    <s v="iPadPro"/>
    <n v="3581"/>
    <n v="517"/>
    <n v="880"/>
    <n v="1925"/>
    <n v="18636"/>
    <n v="248611"/>
    <s v="iPhone 16 Launch"/>
    <n v="2.0023249172401862"/>
  </r>
  <r>
    <s v="A5"/>
    <x v="0"/>
    <d v="2025-09-04T00:00:00"/>
    <x v="2"/>
    <s v="AppleWatchUltra2 "/>
    <s v="HealthTech"/>
    <n v="21708"/>
    <n v="435"/>
    <n v="317"/>
    <n v="1213"/>
    <n v="70701"/>
    <n v="83585"/>
    <s v="Apple Event September 2025"/>
    <n v="26.870850032900641"/>
  </r>
  <r>
    <s v="A6"/>
    <x v="1"/>
    <d v="2025-09-05T00:00:00"/>
    <x v="0"/>
    <s v="ShotOniPhone"/>
    <m/>
    <n v="14677"/>
    <n v="533"/>
    <n v="759"/>
    <n v="753"/>
    <n v="23275"/>
    <n v="66958"/>
    <s v="Apple Event September 2025"/>
    <n v="23.849278652289495"/>
  </r>
  <r>
    <s v="A7"/>
    <x v="2"/>
    <s v="2024-06-24"/>
    <x v="3"/>
    <s v="AppleMusic "/>
    <s v="AppleLifestyle"/>
    <n v="7713"/>
    <n v="575"/>
    <n v="417"/>
    <n v="336"/>
    <n v="61660"/>
    <n v="66017"/>
    <s v="iPhone 16 Launch"/>
    <n v="13.185997546086615"/>
  </r>
  <r>
    <s v="A8"/>
    <x v="2"/>
    <s v="2024-07-13"/>
    <x v="2"/>
    <s v="AppleWatch "/>
    <s v="Health"/>
    <n v="18639"/>
    <n v="1360"/>
    <n v="898"/>
    <n v="2011"/>
    <n v="42841"/>
    <n v="247779"/>
    <s v="iPhone 16 Launch"/>
    <n v="8.4337252148083568"/>
  </r>
  <r>
    <s v="A9"/>
    <x v="0"/>
    <s v="2024-08-30"/>
    <x v="3"/>
    <s v="MacBookAirM3 "/>
    <s v="AppleInnovation"/>
    <n v="6804"/>
    <n v="787"/>
    <n v="970"/>
    <n v="1095"/>
    <n v="56343"/>
    <n v="164677"/>
    <s v="Apple Watch Ultra 2 Launch"/>
    <n v="5.1986616224487934"/>
  </r>
  <r>
    <s v="A10"/>
    <x v="3"/>
    <s v="2025-03-11"/>
    <x v="2"/>
    <s v="iPhone16Launch "/>
    <s v="AppleEvent"/>
    <n v="20222"/>
    <n v="712"/>
    <n v="604"/>
    <n v="1272"/>
    <n v="71598"/>
    <n v="216422"/>
    <s v="Sustainability Awareness Drive"/>
    <n v="9.9518533235992646"/>
  </r>
  <r>
    <s v="A11"/>
    <x v="0"/>
    <s v="2025-02-02"/>
    <x v="3"/>
    <s v="AppleEvent "/>
    <s v="iPadPro"/>
    <n v="12136"/>
    <n v="1117"/>
    <n v="834"/>
    <n v="892"/>
    <n v="24675"/>
    <n v="183273"/>
    <s v="Sustainability Awareness Drive"/>
    <n v="7.6863476889667322"/>
  </r>
  <r>
    <s v="A12"/>
    <x v="0"/>
    <s v="2024-07-21"/>
    <x v="1"/>
    <s v="MacBookAirM3 "/>
    <s v="AppleInnovation"/>
    <n v="2009"/>
    <n v="1072"/>
    <n v="550"/>
    <n v="1437"/>
    <n v="22982"/>
    <n v="69426"/>
    <s v="iPhone 16 Launch"/>
    <n v="5.2300290957278257"/>
  </r>
  <r>
    <s v="A13"/>
    <x v="0"/>
    <s v="2024-11-18"/>
    <x v="3"/>
    <s v="AppleMusic "/>
    <s v="AppleLifestyle"/>
    <n v="21255"/>
    <n v="1452"/>
    <n v="625"/>
    <n v="1624"/>
    <n v="21282"/>
    <n v="57778"/>
    <s v="MacBook Air M3 Campaign"/>
    <n v="40.382152376337018"/>
  </r>
  <r>
    <s v="A14"/>
    <x v="0"/>
    <d v="2025-09-06T00:00:00"/>
    <x v="1"/>
    <s v="AppleWatch "/>
    <s v="Health"/>
    <n v="7124"/>
    <n v="469"/>
    <n v="851"/>
    <n v="2571"/>
    <n v="33802"/>
    <n v="216313"/>
    <s v="Apple Event September 2025"/>
    <n v="3.903602649863855"/>
  </r>
  <r>
    <s v="A15"/>
    <x v="1"/>
    <d v="2025-09-07T00:00:00"/>
    <x v="1"/>
    <s v="AppleDesign "/>
    <s v="Innovation"/>
    <n v="3015"/>
    <n v="997"/>
    <n v="783"/>
    <n v="617"/>
    <n v="77167"/>
    <n v="82229"/>
    <s v="Apple Event September 2025"/>
    <n v="5.8312760704860818"/>
  </r>
  <r>
    <s v="A16"/>
    <x v="2"/>
    <s v="2024-08-26"/>
    <x v="3"/>
    <s v="AppleWatch "/>
    <s v="Health"/>
    <n v="4193"/>
    <n v="924"/>
    <n v="707"/>
    <n v="2696"/>
    <n v="55075"/>
    <n v="126652"/>
    <s v="iPhone 16 Launch"/>
    <n v="4.5984271863057824"/>
  </r>
  <r>
    <s v="A17"/>
    <x v="1"/>
    <s v="2025-05-05"/>
    <x v="1"/>
    <s v="AppleEvent "/>
    <s v="iPhone16"/>
    <n v="10415"/>
    <n v="1388"/>
    <n v="725"/>
    <n v="2462"/>
    <n v="53082"/>
    <n v="168267"/>
    <s v="MacBook Air M3 Campaign"/>
    <n v="7.4453101321114659"/>
  </r>
  <r>
    <s v="A18"/>
    <x v="1"/>
    <s v="2024-08-19"/>
    <x v="0"/>
    <s v="AppleWatch "/>
    <s v="Health"/>
    <n v="15550"/>
    <n v="204"/>
    <n v="279"/>
    <n v="1646"/>
    <n v="35819"/>
    <n v="219436"/>
    <s v="Apple Watch Ultra 2 Launch"/>
    <n v="7.3064583751070931"/>
  </r>
  <r>
    <s v="A19"/>
    <x v="1"/>
    <s v="2024-06-23"/>
    <x v="1"/>
    <s v="AppleEvent "/>
    <s v="iPhone16"/>
    <n v="16512"/>
    <n v="1050"/>
    <n v="971"/>
    <n v="1891"/>
    <n v="15865"/>
    <n v="166503"/>
    <s v="iPhone 16 Launch"/>
    <n v="11.13073037723044"/>
  </r>
  <r>
    <s v="A20"/>
    <x v="0"/>
    <s v="2024-09-09"/>
    <x v="2"/>
    <s v="AppleDesign "/>
    <s v="Innovation"/>
    <n v="6158"/>
    <n v="277"/>
    <n v="512"/>
    <n v="2189"/>
    <n v="76881"/>
    <n v="124878"/>
    <s v="iPhone 16 Launch"/>
    <n v="5.5630295168084052"/>
  </r>
  <r>
    <s v="A21"/>
    <x v="3"/>
    <d v="2025-09-08T00:00:00"/>
    <x v="3"/>
    <s v="iPhonePhotography "/>
    <s v="ShotOniPhone"/>
    <n v="22309"/>
    <n v="773"/>
    <n v="854"/>
    <n v="2387"/>
    <n v="72396"/>
    <n v="97056"/>
    <s v="Apple Event September 2025"/>
    <n v="24.662050774810417"/>
  </r>
  <r>
    <s v="A22"/>
    <x v="2"/>
    <s v="2025-02-27"/>
    <x v="0"/>
    <s v="AppleMusic "/>
    <s v="AppleLifestyle"/>
    <n v="8970"/>
    <n v="331"/>
    <n v="968"/>
    <n v="2296"/>
    <n v="24613"/>
    <n v="198562"/>
    <s v="iPhone 16 Launch"/>
    <n v="5.1716844109144757"/>
  </r>
  <r>
    <s v="A23"/>
    <x v="3"/>
    <s v="2024-11-06"/>
    <x v="3"/>
    <s v="AppleEvent "/>
    <s v="iPhone16"/>
    <n v="8938"/>
    <n v="800"/>
    <n v="842"/>
    <n v="2072"/>
    <n v="31736"/>
    <n v="59975"/>
    <s v="iPhone 16 Launch"/>
    <n v="17.64068361817424"/>
  </r>
  <r>
    <s v="A24"/>
    <x v="1"/>
    <s v="2025-01-23"/>
    <x v="2"/>
    <s v="iPhone16Launch "/>
    <s v="AppleEvent"/>
    <n v="23168"/>
    <n v="1265"/>
    <n v="441"/>
    <n v="1612"/>
    <n v="66615"/>
    <n v="197795"/>
    <s v="iPhone 16 Launch"/>
    <n v="12.57564650269218"/>
  </r>
  <r>
    <s v="A25"/>
    <x v="1"/>
    <d v="2025-09-09T00:00:00"/>
    <x v="2"/>
    <s v="AppleWatch "/>
    <s v="Health"/>
    <n v="15772"/>
    <n v="288"/>
    <n v="520"/>
    <n v="1585"/>
    <n v="59182"/>
    <n v="194351"/>
    <s v="Apple Event September 2025"/>
    <n v="8.530956876990599"/>
  </r>
  <r>
    <s v="A26"/>
    <x v="3"/>
    <s v="2025-04-05"/>
    <x v="2"/>
    <s v="AppleWatch "/>
    <s v="Health"/>
    <n v="22384"/>
    <n v="601"/>
    <n v="943"/>
    <n v="515"/>
    <n v="41309"/>
    <n v="249373"/>
    <s v="Apple Watch Ultra 2 Launch"/>
    <n v="9.595264924430472"/>
  </r>
  <r>
    <s v="A27"/>
    <x v="3"/>
    <s v="2024-09-17"/>
    <x v="1"/>
    <s v="iPhone16Launch "/>
    <s v="AppleEvent"/>
    <n v="20017"/>
    <n v="495"/>
    <n v="178"/>
    <n v="2683"/>
    <n v="32244"/>
    <n v="182633"/>
    <s v="Apple Watch Ultra 2 Launch"/>
    <n v="11.32873029518214"/>
  </r>
  <r>
    <s v="A28"/>
    <x v="3"/>
    <s v="2025-03-04"/>
    <x v="1"/>
    <s v="ShotOniPhone"/>
    <m/>
    <n v="12344"/>
    <n v="815"/>
    <n v="298"/>
    <n v="2439"/>
    <n v="6259"/>
    <n v="237133"/>
    <s v="iPhone 16 Launch"/>
    <n v="5.6748744375519227"/>
  </r>
  <r>
    <s v="A29"/>
    <x v="1"/>
    <d v="2025-09-10T00:00:00"/>
    <x v="3"/>
    <s v="MacBookProM3"/>
    <m/>
    <n v="9266"/>
    <n v="999"/>
    <n v="928"/>
    <n v="2700"/>
    <n v="12264"/>
    <n v="128397"/>
    <s v="Apple Event September 2025"/>
    <n v="8.7174933993784904"/>
  </r>
  <r>
    <s v="A30"/>
    <x v="1"/>
    <s v="2025-02-25"/>
    <x v="3"/>
    <s v="iPhonePhotography "/>
    <s v="ShotOniPhone"/>
    <n v="10702"/>
    <n v="621"/>
    <n v="445"/>
    <n v="2918"/>
    <n v="54808"/>
    <n v="220225"/>
    <s v="Apple Watch Ultra 2 Launch"/>
    <n v="5.3436258372119427"/>
  </r>
  <r>
    <s v="A31"/>
    <x v="2"/>
    <s v="2024-12-16"/>
    <x v="0"/>
    <s v="AppleEvent "/>
    <s v="iPadPro"/>
    <n v="2384"/>
    <n v="1246"/>
    <n v="160"/>
    <n v="2004"/>
    <n v="2701"/>
    <n v="73142"/>
    <s v="Apple Watch Ultra 2 Launch"/>
    <n v="5.1817013480626724"/>
  </r>
  <r>
    <s v="A32"/>
    <x v="2"/>
    <s v="2024-07-31"/>
    <x v="0"/>
    <s v="AppleEvent "/>
    <s v="iPhone16"/>
    <n v="2404"/>
    <n v="774"/>
    <n v="661"/>
    <n v="662"/>
    <n v="12676"/>
    <n v="66916"/>
    <s v="Apple Watch Ultra 2 Launch"/>
    <n v="5.7370434574690652"/>
  </r>
  <r>
    <s v="A33"/>
    <x v="1"/>
    <d v="2025-09-11T00:00:00"/>
    <x v="3"/>
    <s v="iPhone16Launch "/>
    <s v="AppleEvent"/>
    <n v="10175"/>
    <n v="342"/>
    <n v="825"/>
    <n v="2904"/>
    <n v="15954"/>
    <n v="104324"/>
    <s v="Apple Event September 2025"/>
    <n v="10.871899083624093"/>
  </r>
  <r>
    <s v="A34"/>
    <x v="3"/>
    <d v="2025-09-12T00:00:00"/>
    <x v="1"/>
    <s v="AppleDesign "/>
    <s v="Innovation"/>
    <n v="17158"/>
    <n v="1192"/>
    <n v="262"/>
    <n v="2016"/>
    <n v="28771"/>
    <n v="216037"/>
    <s v="Apple Event September 2025"/>
    <n v="8.6151909163708069"/>
  </r>
  <r>
    <s v="A35"/>
    <x v="3"/>
    <s v="2024-11-30"/>
    <x v="2"/>
    <s v="AppleEvent "/>
    <s v="iPhone16"/>
    <n v="14763"/>
    <n v="864"/>
    <n v="336"/>
    <n v="1493"/>
    <n v="33310"/>
    <n v="165932"/>
    <s v="iPhone 16 Launch"/>
    <n v="9.6202058674637794"/>
  </r>
  <r>
    <s v="A36"/>
    <x v="2"/>
    <s v="2025-04-19"/>
    <x v="3"/>
    <s v="MacBookProM3"/>
    <m/>
    <n v="20384"/>
    <n v="344"/>
    <n v="956"/>
    <n v="655"/>
    <n v="67621"/>
    <n v="175720"/>
    <s v="Sustainability Awareness Drive"/>
    <n v="12.340086501251992"/>
  </r>
  <r>
    <s v="A37"/>
    <x v="1"/>
    <s v="2025-01-06"/>
    <x v="0"/>
    <s v="AppleDesign "/>
    <s v="Innovation"/>
    <n v="11860"/>
    <n v="1448"/>
    <n v="893"/>
    <n v="490"/>
    <n v="23518"/>
    <n v="206205"/>
    <s v="Apple Watch Ultra 2 Launch"/>
    <n v="6.8868359157149435"/>
  </r>
  <r>
    <s v="A38"/>
    <x v="2"/>
    <s v="2025-02-17"/>
    <x v="1"/>
    <s v="MacBookAirM3 "/>
    <s v="AppleInnovation"/>
    <n v="7989"/>
    <n v="1206"/>
    <n v="376"/>
    <n v="2769"/>
    <n v="27550"/>
    <n v="221749"/>
    <s v="Sustainability Awareness Drive"/>
    <n v="4.3161412227338118"/>
  </r>
  <r>
    <s v="A39"/>
    <x v="2"/>
    <d v="2025-09-13T00:00:00"/>
    <x v="3"/>
    <s v="AppleMusic "/>
    <s v="AppleLifestyle"/>
    <n v="17106"/>
    <n v="702"/>
    <n v="459"/>
    <n v="999"/>
    <n v="59627"/>
    <n v="136059"/>
    <s v="Apple Event September 2025"/>
    <n v="13.425793222058077"/>
  </r>
  <r>
    <s v="A40"/>
    <x v="0"/>
    <d v="2025-09-14T00:00:00"/>
    <x v="3"/>
    <s v="AppleWatch "/>
    <s v="Health"/>
    <n v="19844"/>
    <n v="1020"/>
    <n v="247"/>
    <n v="2354"/>
    <n v="37792"/>
    <n v="138317"/>
    <s v="Apple Event September 2025"/>
    <n v="15.262765965138053"/>
  </r>
  <r>
    <s v="A41"/>
    <x v="0"/>
    <d v="2025-09-15T00:00:00"/>
    <x v="1"/>
    <s v="MacBookAirM3 "/>
    <s v="AppleInnovation"/>
    <n v="5636"/>
    <n v="303"/>
    <n v="204"/>
    <n v="2480"/>
    <n v="7377"/>
    <n v="241207"/>
    <s v="Apple Event September 2025"/>
    <n v="2.5467751765081443"/>
  </r>
  <r>
    <s v="A42"/>
    <x v="0"/>
    <s v="2025-03-05"/>
    <x v="3"/>
    <s v="AppleEvent "/>
    <s v="iPhone16"/>
    <n v="12916"/>
    <n v="1262"/>
    <n v="772"/>
    <n v="856"/>
    <n v="11496"/>
    <n v="75046"/>
    <s v="Sustainability Awareness Drive"/>
    <n v="19.921115049436349"/>
  </r>
  <r>
    <s v="A43"/>
    <x v="3"/>
    <d v="2025-09-16T00:00:00"/>
    <x v="1"/>
    <s v="MacBookProM3"/>
    <m/>
    <n v="6809"/>
    <n v="397"/>
    <n v="813"/>
    <n v="1125"/>
    <n v="12206"/>
    <n v="218136"/>
    <s v="Apple Event September 2025"/>
    <n v="3.6761469908680824"/>
  </r>
  <r>
    <s v="A44"/>
    <x v="1"/>
    <s v="2025-03-02"/>
    <x v="2"/>
    <s v="iPhonePhotography "/>
    <s v="ShotOniPhone"/>
    <n v="22562"/>
    <n v="778"/>
    <n v="907"/>
    <n v="1354"/>
    <n v="34475"/>
    <n v="141459"/>
    <s v="iPhone 16 Launch"/>
    <n v="17.140655596321196"/>
  </r>
  <r>
    <s v="A45"/>
    <x v="1"/>
    <d v="2025-09-17T00:00:00"/>
    <x v="1"/>
    <s v="AppleMusic "/>
    <s v="AppleLifestyle"/>
    <n v="15456"/>
    <n v="590"/>
    <n v="555"/>
    <n v="2882"/>
    <n v="49816"/>
    <n v="240422"/>
    <s v="Apple Event September 2025"/>
    <n v="6.9049421433978591"/>
  </r>
  <r>
    <s v="A46"/>
    <x v="1"/>
    <s v="2025-05-02"/>
    <x v="1"/>
    <s v="AppleEvent "/>
    <s v="iPhone16"/>
    <n v="17444"/>
    <n v="1402"/>
    <n v="218"/>
    <n v="725"/>
    <n v="8710"/>
    <n v="85893"/>
    <s v="MacBook Air M3 Campaign"/>
    <n v="22.195056640238437"/>
  </r>
  <r>
    <s v="A47"/>
    <x v="1"/>
    <s v="2025-02-24"/>
    <x v="1"/>
    <s v="iPhone16Launch "/>
    <s v="AppleEvent"/>
    <n v="24984"/>
    <n v="753"/>
    <n v="461"/>
    <n v="2710"/>
    <n v="20792"/>
    <n v="141520"/>
    <s v="Sustainability Awareness Drive"/>
    <n v="18.511871113623517"/>
  </r>
  <r>
    <s v="A48"/>
    <x v="0"/>
    <s v="2025-03-11"/>
    <x v="3"/>
    <s v="AppleWatchUltra2 "/>
    <s v="HealthTech"/>
    <n v="7997"/>
    <n v="1238"/>
    <n v="438"/>
    <n v="1874"/>
    <n v="36272"/>
    <n v="165818"/>
    <s v="MacBook Air M3 Campaign"/>
    <n v="5.8335042034037317"/>
  </r>
  <r>
    <s v="A49"/>
    <x v="3"/>
    <d v="2025-09-18T00:00:00"/>
    <x v="3"/>
    <s v="AppleEvent "/>
    <s v="iPhone16"/>
    <n v="4048"/>
    <n v="677"/>
    <n v="911"/>
    <n v="2429"/>
    <n v="27361"/>
    <n v="101272"/>
    <s v="Apple Event September 2025"/>
    <n v="5.5652105221581483"/>
  </r>
  <r>
    <s v="A50"/>
    <x v="3"/>
    <s v="2024-07-03"/>
    <x v="1"/>
    <s v="AppleMusic "/>
    <s v="AppleLifestyle"/>
    <n v="14338"/>
    <n v="1454"/>
    <n v="697"/>
    <n v="2703"/>
    <n v="21288"/>
    <n v="107649"/>
    <s v="iPhone 16 Launch"/>
    <n v="15.317374058282009"/>
  </r>
  <r>
    <s v="A51"/>
    <x v="0"/>
    <s v="2024-06-13"/>
    <x v="3"/>
    <s v="AppleWatch "/>
    <s v="Health"/>
    <n v="23164"/>
    <n v="1122"/>
    <n v="900"/>
    <n v="888"/>
    <n v="36938"/>
    <n v="104674"/>
    <s v="Apple Watch Ultra 2 Launch"/>
    <n v="24.061371496264595"/>
  </r>
  <r>
    <s v="A52"/>
    <x v="3"/>
    <d v="2025-09-19T00:00:00"/>
    <x v="0"/>
    <s v="AppleWatch "/>
    <s v="Health"/>
    <n v="19100"/>
    <n v="619"/>
    <n v="297"/>
    <n v="2312"/>
    <n v="9730"/>
    <n v="184832"/>
    <s v="Apple Event September 2025"/>
    <n v="10.829293628808864"/>
  </r>
  <r>
    <s v="A53"/>
    <x v="0"/>
    <s v="2025-02-24"/>
    <x v="0"/>
    <s v="AppleEvent "/>
    <s v="iPhone16"/>
    <n v="23949"/>
    <n v="356"/>
    <n v="616"/>
    <n v="1847"/>
    <n v="3144"/>
    <n v="192999"/>
    <s v="iPhone 16 Launch"/>
    <n v="12.912502137316773"/>
  </r>
  <r>
    <s v="A54"/>
    <x v="1"/>
    <s v="2025-03-13"/>
    <x v="3"/>
    <s v="AppleDesign "/>
    <s v="Innovation"/>
    <n v="6544"/>
    <n v="749"/>
    <n v="888"/>
    <n v="594"/>
    <n v="18171"/>
    <n v="126475"/>
    <s v="Sustainability Awareness Drive"/>
    <n v="6.4684720300454632"/>
  </r>
  <r>
    <s v="A55"/>
    <x v="0"/>
    <s v="2024-06-17"/>
    <x v="3"/>
    <s v="AppleWatchUltra2 "/>
    <s v="HealthTech"/>
    <n v="6976"/>
    <n v="1320"/>
    <n v="393"/>
    <n v="2285"/>
    <n v="14049"/>
    <n v="101367"/>
    <s v="MacBook Air M3 Campaign"/>
    <n v="8.5718231771681115"/>
  </r>
  <r>
    <s v="A56"/>
    <x v="1"/>
    <s v="2024-12-18"/>
    <x v="1"/>
    <s v="iPhone16Launch "/>
    <s v="AppleEvent"/>
    <n v="14775"/>
    <n v="1220"/>
    <n v="640"/>
    <n v="1547"/>
    <n v="28527"/>
    <n v="183660"/>
    <s v="MacBook Air M3 Campaign"/>
    <n v="9.0574975498203205"/>
  </r>
  <r>
    <s v="A57"/>
    <x v="1"/>
    <s v="2024-10-21"/>
    <x v="2"/>
    <s v="AppleEvent "/>
    <s v="iPhone16"/>
    <n v="12015"/>
    <n v="1196"/>
    <n v="998"/>
    <n v="1848"/>
    <n v="44739"/>
    <n v="161750"/>
    <s v="MacBook Air M3 Campaign"/>
    <n v="8.7845440494590417"/>
  </r>
  <r>
    <s v="A58"/>
    <x v="2"/>
    <s v="2025-04-15"/>
    <x v="3"/>
    <s v="AppleDesign "/>
    <s v="Innovation"/>
    <n v="5419"/>
    <n v="1150"/>
    <n v="656"/>
    <n v="1990"/>
    <n v="410"/>
    <n v="158154"/>
    <s v="Sustainability Awareness Drive"/>
    <n v="4.5683321319726344"/>
  </r>
  <r>
    <s v="A59"/>
    <x v="0"/>
    <s v="2024-06-22"/>
    <x v="0"/>
    <s v="AppleWatch "/>
    <s v="Health"/>
    <n v="16430"/>
    <n v="488"/>
    <n v="514"/>
    <n v="1436"/>
    <n v="30059"/>
    <n v="223305"/>
    <s v="iPhone 16 Launch"/>
    <n v="7.8063634938760877"/>
  </r>
  <r>
    <s v="A60"/>
    <x v="2"/>
    <s v="2025-01-28"/>
    <x v="1"/>
    <s v="AppleWatch "/>
    <s v="Health"/>
    <n v="9239"/>
    <n v="1477"/>
    <n v="631"/>
    <n v="1556"/>
    <n v="11580"/>
    <n v="84738"/>
    <s v="Sustainability Awareness Drive"/>
    <n v="13.390686586891359"/>
  </r>
  <r>
    <s v="A61"/>
    <x v="0"/>
    <s v="2024-09-05"/>
    <x v="3"/>
    <s v="MacBookProM3"/>
    <m/>
    <n v="16489"/>
    <n v="395"/>
    <n v="350"/>
    <n v="2364"/>
    <n v="43239"/>
    <n v="73397"/>
    <s v="MacBook Air M3 Campaign"/>
    <n v="23.48052372712781"/>
  </r>
  <r>
    <s v="A62"/>
    <x v="0"/>
    <d v="2025-09-20T00:00:00"/>
    <x v="0"/>
    <s v="AppleEvent "/>
    <s v="iPhone16"/>
    <n v="18633"/>
    <n v="797"/>
    <n v="303"/>
    <n v="659"/>
    <n v="7"/>
    <n v="122189"/>
    <s v="Apple Event September 2025"/>
    <n v="16.14957156536186"/>
  </r>
  <r>
    <s v="A63"/>
    <x v="2"/>
    <s v="2024-07-31"/>
    <x v="0"/>
    <s v="AppleWatchUltra2 "/>
    <s v="HealthTech"/>
    <n v="12357"/>
    <n v="716"/>
    <n v="599"/>
    <n v="999"/>
    <n v="89591"/>
    <n v="116367"/>
    <s v="Apple Watch Ultra 2 Launch"/>
    <n v="11.749035379446063"/>
  </r>
  <r>
    <s v="A64"/>
    <x v="2"/>
    <s v="2024-08-17"/>
    <x v="2"/>
    <s v="ShotOniPhone"/>
    <m/>
    <n v="19154"/>
    <n v="1064"/>
    <n v="650"/>
    <n v="747"/>
    <n v="42667"/>
    <n v="242332"/>
    <s v="Sustainability Awareness Drive"/>
    <n v="8.6113266097750198"/>
  </r>
  <r>
    <s v="A65"/>
    <x v="0"/>
    <s v="2025-03-28"/>
    <x v="1"/>
    <s v="AppleWatchUltra2 "/>
    <s v="HealthTech"/>
    <n v="6363"/>
    <n v="1341"/>
    <n v="222"/>
    <n v="2712"/>
    <n v="19987"/>
    <n v="160585"/>
    <s v="Sustainability Awareness Drive"/>
    <n v="4.935703832861102"/>
  </r>
  <r>
    <s v="A66"/>
    <x v="3"/>
    <s v="2024-07-26"/>
    <x v="1"/>
    <s v="AppleWatch "/>
    <s v="Health"/>
    <n v="12176"/>
    <n v="1005"/>
    <n v="862"/>
    <n v="974"/>
    <n v="2285"/>
    <n v="116619"/>
    <s v="iPhone 16 Launch"/>
    <n v="12.041777068916728"/>
  </r>
  <r>
    <s v="A67"/>
    <x v="1"/>
    <s v="2025-03-29"/>
    <x v="2"/>
    <s v="AppleWatch "/>
    <s v="Health"/>
    <n v="19461"/>
    <n v="1382"/>
    <n v="445"/>
    <n v="1307"/>
    <n v="84691"/>
    <n v="151453"/>
    <s v="iPhone 16 Launch"/>
    <n v="14.055845707909384"/>
  </r>
  <r>
    <s v="A68"/>
    <x v="2"/>
    <s v="2024-12-08"/>
    <x v="2"/>
    <s v="MacBookAirM3 "/>
    <s v="AppleInnovation"/>
    <n v="10427"/>
    <n v="1014"/>
    <n v="166"/>
    <n v="1649"/>
    <n v="15145"/>
    <n v="59816"/>
    <s v="Sustainability Awareness Drive"/>
    <n v="19.404507155276178"/>
  </r>
  <r>
    <s v="A69"/>
    <x v="1"/>
    <s v="2025-03-08"/>
    <x v="1"/>
    <s v="AppleWatch "/>
    <s v="Health"/>
    <n v="10580"/>
    <n v="427"/>
    <n v="790"/>
    <n v="2814"/>
    <n v="24916"/>
    <n v="213312"/>
    <s v="MacBook Air M3 Campaign"/>
    <n v="5.5303967896789681"/>
  </r>
  <r>
    <s v="A70"/>
    <x v="3"/>
    <s v="2025-04-02"/>
    <x v="1"/>
    <s v="iPhone16Launch "/>
    <s v="AppleEvent"/>
    <n v="6858"/>
    <n v="415"/>
    <n v="366"/>
    <n v="2761"/>
    <n v="2988"/>
    <n v="177348"/>
    <s v="Apple Watch Ultra 2 Launch"/>
    <n v="4.3073505198818136"/>
  </r>
  <r>
    <s v="A71"/>
    <x v="3"/>
    <s v="2024-09-02"/>
    <x v="3"/>
    <s v="AppleEvent "/>
    <s v="iPadPro"/>
    <n v="12040"/>
    <n v="1147"/>
    <n v="210"/>
    <n v="885"/>
    <n v="30360"/>
    <n v="119530"/>
    <s v="iPhone 16 Launch"/>
    <n v="11.20806492094035"/>
  </r>
  <r>
    <s v="A72"/>
    <x v="3"/>
    <s v="2025-03-03"/>
    <x v="3"/>
    <s v="AppleEvent "/>
    <s v="iPhone16"/>
    <n v="24928"/>
    <n v="214"/>
    <n v="765"/>
    <n v="1556"/>
    <n v="5239"/>
    <n v="194571"/>
    <s v="MacBook Air M3 Campaign"/>
    <n v="13.314933880177415"/>
  </r>
  <r>
    <s v="A73"/>
    <x v="2"/>
    <d v="2025-09-21T00:00:00"/>
    <x v="2"/>
    <s v="AppleWatchUltra2 "/>
    <s v="HealthTech"/>
    <n v="23103"/>
    <n v="1380"/>
    <n v="191"/>
    <n v="1547"/>
    <n v="77798"/>
    <n v="148856"/>
    <s v="Apple Event September 2025"/>
    <n v="16.575751061428495"/>
  </r>
  <r>
    <s v="A74"/>
    <x v="3"/>
    <s v="2024-10-28"/>
    <x v="3"/>
    <s v="AppleEvent "/>
    <s v="iPadPro"/>
    <n v="21198"/>
    <n v="1484"/>
    <n v="174"/>
    <n v="1293"/>
    <n v="16330"/>
    <n v="111635"/>
    <s v="iPhone 16 Launch"/>
    <n v="20.473865723115512"/>
  </r>
  <r>
    <s v="A75"/>
    <x v="2"/>
    <s v="2024-08-01"/>
    <x v="0"/>
    <s v="AppleDesign "/>
    <s v="Innovation"/>
    <n v="21758"/>
    <n v="1380"/>
    <n v="188"/>
    <n v="1735"/>
    <n v="20998"/>
    <n v="147803"/>
    <s v="MacBook Air M3 Campaign"/>
    <n v="15.781817689762725"/>
  </r>
  <r>
    <s v="A76"/>
    <x v="3"/>
    <s v="2024-11-07"/>
    <x v="3"/>
    <s v="ShotOniPhone"/>
    <m/>
    <n v="17254"/>
    <n v="246"/>
    <n v="952"/>
    <n v="871"/>
    <n v="14957"/>
    <n v="75946"/>
    <s v="MacBook Air M3 Campaign"/>
    <n v="24.296210465330631"/>
  </r>
  <r>
    <s v="A77"/>
    <x v="1"/>
    <s v="2025-03-04"/>
    <x v="3"/>
    <s v="iPhone16Launch "/>
    <s v="AppleEvent"/>
    <n v="13470"/>
    <n v="523"/>
    <n v="280"/>
    <n v="2682"/>
    <n v="8538"/>
    <n v="95204"/>
    <s v="Apple Watch Ultra 2 Launch"/>
    <n v="14.992017142136884"/>
  </r>
  <r>
    <s v="A78"/>
    <x v="1"/>
    <s v="2024-06-17"/>
    <x v="0"/>
    <s v="AppleMusic "/>
    <s v="AppleLifestyle"/>
    <n v="3252"/>
    <n v="1043"/>
    <n v="647"/>
    <n v="1545"/>
    <n v="18859"/>
    <n v="222958"/>
    <s v="Apple Watch Ultra 2 Launch"/>
    <n v="2.2165609666394568"/>
  </r>
  <r>
    <s v="A79"/>
    <x v="0"/>
    <d v="2025-09-22T00:00:00"/>
    <x v="2"/>
    <s v="Sustainability "/>
    <s v="AppleEarth"/>
    <n v="8996"/>
    <n v="329"/>
    <n v="378"/>
    <n v="2384"/>
    <n v="39404"/>
    <n v="242724"/>
    <s v="Apple Event September 2025"/>
    <n v="3.997544536181012"/>
  </r>
  <r>
    <s v="A80"/>
    <x v="1"/>
    <s v="2024-06-13"/>
    <x v="0"/>
    <s v="AppleWatchUltra2 "/>
    <s v="HealthTech"/>
    <n v="14173"/>
    <n v="294"/>
    <n v="257"/>
    <n v="1288"/>
    <n v="39466"/>
    <n v="55563"/>
    <s v="MacBook Air M3 Campaign"/>
    <n v="26.499649047027695"/>
  </r>
  <r>
    <s v="A81"/>
    <x v="0"/>
    <s v="2024-10-19"/>
    <x v="3"/>
    <s v="AppleEvent "/>
    <s v="iPadPro"/>
    <n v="6673"/>
    <n v="826"/>
    <n v="321"/>
    <n v="577"/>
    <n v="19262"/>
    <n v="132324"/>
    <s v="MacBook Air M3 Campaign"/>
    <n v="5.9097367068710129"/>
  </r>
  <r>
    <s v="A82"/>
    <x v="1"/>
    <s v="2024-07-24"/>
    <x v="2"/>
    <s v="AppleMusic "/>
    <s v="AppleLifestyle"/>
    <n v="22914"/>
    <n v="954"/>
    <n v="584"/>
    <n v="1519"/>
    <n v="13637"/>
    <n v="49847"/>
    <s v="Apple Watch Ultra 2 Launch"/>
    <n v="49.054105563022851"/>
  </r>
  <r>
    <s v="A83"/>
    <x v="2"/>
    <s v="2024-10-15"/>
    <x v="3"/>
    <s v="ShotOniPhone"/>
    <m/>
    <n v="17781"/>
    <n v="993"/>
    <n v="627"/>
    <n v="2187"/>
    <n v="9609"/>
    <n v="66155"/>
    <s v="iPhone 16 Launch"/>
    <n v="29.326581513113144"/>
  </r>
  <r>
    <s v="A84"/>
    <x v="1"/>
    <s v="2024-12-09"/>
    <x v="0"/>
    <s v="MacBookAirM3 "/>
    <s v="AppleInnovation"/>
    <n v="15051"/>
    <n v="268"/>
    <n v="251"/>
    <n v="783"/>
    <n v="34154"/>
    <n v="119671"/>
    <s v="iPhone 16 Launch"/>
    <n v="13.010670922779955"/>
  </r>
  <r>
    <s v="A85"/>
    <x v="0"/>
    <s v="2025-04-19"/>
    <x v="0"/>
    <s v="AppleMusic "/>
    <s v="AppleLifestyle"/>
    <n v="8881"/>
    <n v="210"/>
    <n v="673"/>
    <n v="1565"/>
    <n v="24847"/>
    <n v="156891"/>
    <s v="Sustainability Awareness Drive"/>
    <n v="6.2234290048505008"/>
  </r>
  <r>
    <s v="A86"/>
    <x v="0"/>
    <s v="2025-01-27"/>
    <x v="3"/>
    <s v="iPhone16Launch "/>
    <s v="AppleEvent"/>
    <n v="8949"/>
    <n v="1477"/>
    <n v="424"/>
    <n v="1030"/>
    <n v="58052"/>
    <n v="123310"/>
    <s v="Apple Watch Ultra 2 Launch"/>
    <n v="8.798961965777309"/>
  </r>
  <r>
    <s v="A87"/>
    <x v="3"/>
    <s v="2024-06-06"/>
    <x v="1"/>
    <s v="iPhone16Launch "/>
    <s v="AppleEvent"/>
    <n v="11521"/>
    <n v="1071"/>
    <n v="762"/>
    <n v="2539"/>
    <n v="12701"/>
    <n v="238350"/>
    <s v="Sustainability Awareness Drive"/>
    <n v="5.602685126914202"/>
  </r>
  <r>
    <s v="A88"/>
    <x v="2"/>
    <s v="2024-07-07"/>
    <x v="1"/>
    <s v="MacBookAirM3 "/>
    <s v="AppleInnovation"/>
    <n v="24625"/>
    <n v="749"/>
    <n v="193"/>
    <n v="1340"/>
    <n v="4890"/>
    <n v="189381"/>
    <s v="Apple Watch Ultra 2 Launch"/>
    <n v="13.500298340382615"/>
  </r>
  <r>
    <s v="A89"/>
    <x v="1"/>
    <d v="2025-09-23T00:00:00"/>
    <x v="0"/>
    <s v="Sustainability "/>
    <s v="AppleEarth"/>
    <n v="10017"/>
    <n v="1357"/>
    <n v="966"/>
    <n v="2871"/>
    <n v="14800"/>
    <n v="171691"/>
    <s v="Apple Event September 2025"/>
    <n v="7.1873307278774075"/>
  </r>
  <r>
    <s v="A90"/>
    <x v="3"/>
    <s v="2024-06-03"/>
    <x v="0"/>
    <s v="AppleEvent "/>
    <s v="iPhone16"/>
    <n v="8941"/>
    <n v="911"/>
    <n v="166"/>
    <n v="1217"/>
    <n v="68817"/>
    <n v="221180"/>
    <s v="MacBook Air M3 Campaign"/>
    <n v="4.5293426168731354"/>
  </r>
  <r>
    <s v="A91"/>
    <x v="1"/>
    <d v="2025-09-24T00:00:00"/>
    <x v="1"/>
    <s v="AppleMusic "/>
    <s v="AppleLifestyle"/>
    <n v="12209"/>
    <n v="222"/>
    <n v="479"/>
    <n v="2748"/>
    <n v="24615"/>
    <n v="74707"/>
    <s v="Apple Event September 2025"/>
    <n v="17.28084382989546"/>
  </r>
  <r>
    <s v="A92"/>
    <x v="1"/>
    <s v="2024-10-21"/>
    <x v="1"/>
    <s v="MacBookAirM3 "/>
    <s v="AppleInnovation"/>
    <n v="19715"/>
    <n v="1014"/>
    <n v="718"/>
    <n v="1185"/>
    <n v="37625"/>
    <n v="191409"/>
    <s v="Apple Watch Ultra 2 Launch"/>
    <n v="11.204802282024357"/>
  </r>
  <r>
    <s v="A93"/>
    <x v="3"/>
    <s v="2024-12-11"/>
    <x v="3"/>
    <s v="iPhone16Launch "/>
    <s v="AppleEvent"/>
    <n v="22645"/>
    <n v="545"/>
    <n v="972"/>
    <n v="321"/>
    <n v="8396"/>
    <n v="121537"/>
    <s v="MacBook Air M3 Campaign"/>
    <n v="19.880365649966677"/>
  </r>
  <r>
    <s v="A94"/>
    <x v="3"/>
    <s v="2024-11-07"/>
    <x v="3"/>
    <s v="iPhone16Launch "/>
    <s v="AppleEvent"/>
    <n v="11550"/>
    <n v="501"/>
    <n v="646"/>
    <n v="773"/>
    <n v="17841"/>
    <n v="237576"/>
    <s v="iPhone 16 Launch"/>
    <n v="5.3443950567397387"/>
  </r>
  <r>
    <s v="A95"/>
    <x v="3"/>
    <s v="2024-11-08"/>
    <x v="1"/>
    <s v="AppleEvent "/>
    <s v="iPadPro"/>
    <n v="23499"/>
    <n v="562"/>
    <n v="964"/>
    <n v="2557"/>
    <n v="56890"/>
    <n v="218686"/>
    <s v="iPhone 16 Launch"/>
    <n v="11.443347996671026"/>
  </r>
  <r>
    <s v="A96"/>
    <x v="3"/>
    <s v="2024-09-10"/>
    <x v="3"/>
    <s v="AppleWatch "/>
    <s v="Health"/>
    <n v="6637"/>
    <n v="595"/>
    <n v="161"/>
    <n v="2653"/>
    <n v="19334"/>
    <n v="131155"/>
    <s v="Sustainability Awareness Drive"/>
    <n v="5.6368419046166744"/>
  </r>
  <r>
    <s v="A97"/>
    <x v="3"/>
    <s v="2024-08-13"/>
    <x v="3"/>
    <s v="Sustainability "/>
    <s v="AppleEarth"/>
    <n v="6854"/>
    <n v="417"/>
    <n v="467"/>
    <n v="1003"/>
    <n v="61333"/>
    <n v="40281"/>
    <s v="Apple Watch Ultra 2 Launch"/>
    <n v="19.210049402944314"/>
  </r>
  <r>
    <s v="A98"/>
    <x v="1"/>
    <s v="2024-06-10"/>
    <x v="2"/>
    <s v="AppleMusic "/>
    <s v="AppleLifestyle"/>
    <n v="21561"/>
    <n v="340"/>
    <n v="741"/>
    <n v="986"/>
    <n v="24826"/>
    <n v="198492"/>
    <s v="Apple Watch Ultra 2 Launch"/>
    <n v="11.40700884670415"/>
  </r>
  <r>
    <s v="A99"/>
    <x v="3"/>
    <s v="2024-07-02"/>
    <x v="3"/>
    <s v="AppleMusic "/>
    <s v="AppleLifestyle"/>
    <n v="12320"/>
    <n v="1157"/>
    <n v="365"/>
    <n v="584"/>
    <n v="66634"/>
    <n v="210102"/>
    <s v="iPhone 16 Launch"/>
    <n v="6.5882285746922928"/>
  </r>
  <r>
    <s v="A100"/>
    <x v="2"/>
    <d v="2025-09-25T00:00:00"/>
    <x v="0"/>
    <s v="ShotOniPhone"/>
    <m/>
    <n v="20564"/>
    <n v="1433"/>
    <n v="488"/>
    <n v="1015"/>
    <n v="24333"/>
    <n v="172130"/>
    <s v="Apple Event September 2025"/>
    <n v="13.062801371056759"/>
  </r>
  <r>
    <s v="A101"/>
    <x v="0"/>
    <s v="2024-10-18"/>
    <x v="3"/>
    <s v="MacBookAirM3 "/>
    <s v="AppleInnovation"/>
    <n v="6892"/>
    <n v="1184"/>
    <n v="925"/>
    <n v="1062"/>
    <n v="75008"/>
    <n v="116260"/>
    <s v="MacBook Air M3 Campaign"/>
    <n v="7.7421297092723202"/>
  </r>
  <r>
    <s v="A102"/>
    <x v="3"/>
    <d v="2025-09-26T00:00:00"/>
    <x v="3"/>
    <s v="ShotOniPhone"/>
    <m/>
    <n v="9043"/>
    <n v="1192"/>
    <n v="810"/>
    <n v="1550"/>
    <n v="5221"/>
    <n v="199476"/>
    <s v="Apple Event September 2025"/>
    <n v="5.5370069582305641"/>
  </r>
  <r>
    <s v="A103"/>
    <x v="3"/>
    <d v="2025-09-27T00:00:00"/>
    <x v="1"/>
    <s v="MacBookAirM3 "/>
    <s v="AppleInnovation"/>
    <n v="18521"/>
    <n v="1027"/>
    <n v="230"/>
    <n v="1247"/>
    <n v="39588"/>
    <n v="200928"/>
    <s v="Apple Event September 2025"/>
    <n v="9.8433269628921813"/>
  </r>
  <r>
    <s v="A104"/>
    <x v="1"/>
    <s v="2025-03-23"/>
    <x v="0"/>
    <s v="AppleDesign "/>
    <s v="Innovation"/>
    <n v="24711"/>
    <n v="882"/>
    <n v="876"/>
    <n v="2728"/>
    <n v="32015"/>
    <n v="180272"/>
    <s v="iPhone 16 Launch"/>
    <n v="14.68281263867933"/>
  </r>
  <r>
    <s v="A105"/>
    <x v="3"/>
    <s v="2024-06-14"/>
    <x v="3"/>
    <s v="iPhone16Launch "/>
    <s v="AppleEvent"/>
    <n v="21856"/>
    <n v="1203"/>
    <n v="634"/>
    <n v="2807"/>
    <n v="3647"/>
    <n v="104178"/>
    <s v="iPhone 16 Launch"/>
    <n v="22.742805582752595"/>
  </r>
  <r>
    <s v="A106"/>
    <x v="3"/>
    <s v="2025-02-04"/>
    <x v="3"/>
    <s v="AppleWatch "/>
    <s v="Health"/>
    <n v="23833"/>
    <n v="555"/>
    <n v="523"/>
    <n v="1330"/>
    <n v="69141"/>
    <n v="73997"/>
    <s v="iPhone 16 Launch"/>
    <n v="33.664878305877266"/>
  </r>
  <r>
    <s v="A107"/>
    <x v="3"/>
    <s v="2024-06-21"/>
    <x v="2"/>
    <s v="AppleEvent "/>
    <s v="iPadPro"/>
    <n v="21216"/>
    <n v="1207"/>
    <n v="859"/>
    <n v="328"/>
    <n v="91296"/>
    <n v="196683"/>
    <s v="Sustainability Awareness Drive"/>
    <n v="11.837321985123269"/>
  </r>
  <r>
    <s v="A108"/>
    <x v="1"/>
    <d v="2025-09-28T00:00:00"/>
    <x v="3"/>
    <s v="AppleWatch "/>
    <s v="Health"/>
    <n v="21963"/>
    <n v="1356"/>
    <n v="349"/>
    <n v="1206"/>
    <n v="51755"/>
    <n v="159273"/>
    <s v="Apple Event September 2025"/>
    <n v="14.860020216860359"/>
  </r>
  <r>
    <s v="A109"/>
    <x v="3"/>
    <s v="2024-08-08"/>
    <x v="3"/>
    <s v="AppleWatch "/>
    <s v="Health"/>
    <n v="24355"/>
    <n v="1087"/>
    <n v="686"/>
    <n v="2426"/>
    <n v="24963"/>
    <n v="212307"/>
    <s v="Apple Watch Ultra 2 Launch"/>
    <n v="12.306706797232311"/>
  </r>
  <r>
    <s v="A110"/>
    <x v="0"/>
    <s v="2024-07-29"/>
    <x v="2"/>
    <s v="AppleWatch "/>
    <s v="Health"/>
    <n v="6164"/>
    <n v="326"/>
    <n v="615"/>
    <n v="2806"/>
    <n v="38579"/>
    <n v="206129"/>
    <s v="MacBook Air M3 Campaign"/>
    <n v="3.4468706489625425"/>
  </r>
  <r>
    <s v="A111"/>
    <x v="1"/>
    <s v="2024-11-23"/>
    <x v="1"/>
    <s v="ShotOniPhone"/>
    <m/>
    <n v="9941"/>
    <n v="1329"/>
    <n v="238"/>
    <n v="869"/>
    <n v="40281"/>
    <n v="172311"/>
    <s v="Sustainability Awareness Drive"/>
    <n v="6.67862179431377"/>
  </r>
  <r>
    <s v="A112"/>
    <x v="0"/>
    <s v="2024-10-05"/>
    <x v="3"/>
    <s v="MacBookAirM3 "/>
    <s v="AppleInnovation"/>
    <n v="16388"/>
    <n v="1208"/>
    <n v="417"/>
    <n v="2306"/>
    <n v="16865"/>
    <n v="236733"/>
    <s v="Apple Watch Ultra 2 Launch"/>
    <n v="7.608994098837087"/>
  </r>
  <r>
    <s v="A113"/>
    <x v="1"/>
    <d v="2025-09-29T00:00:00"/>
    <x v="2"/>
    <s v="iPhonePhotography "/>
    <s v="ShotOniPhone"/>
    <n v="7569"/>
    <n v="803"/>
    <n v="804"/>
    <n v="1753"/>
    <n v="43582"/>
    <n v="166945"/>
    <s v="Apple Event September 2025"/>
    <n v="5.4964209769684631"/>
  </r>
  <r>
    <s v="A114"/>
    <x v="3"/>
    <s v="2024-11-14"/>
    <x v="0"/>
    <s v="AppleDesign "/>
    <s v="Innovation"/>
    <n v="6300"/>
    <n v="1213"/>
    <n v="720"/>
    <n v="1037"/>
    <n v="39569"/>
    <n v="85272"/>
    <s v="iPhone 16 Launch"/>
    <n v="9.6549863964724647"/>
  </r>
  <r>
    <s v="A115"/>
    <x v="0"/>
    <d v="2025-09-30T00:00:00"/>
    <x v="1"/>
    <s v="AppleWatchUltra2 "/>
    <s v="HealthTech"/>
    <n v="8269"/>
    <n v="250"/>
    <n v="638"/>
    <n v="815"/>
    <n v="41991"/>
    <n v="129393"/>
    <s v="Apple Event September 2025"/>
    <n v="7.0768897853825177"/>
  </r>
  <r>
    <s v="A116"/>
    <x v="1"/>
    <s v="2025-03-18"/>
    <x v="0"/>
    <s v="AppleWatch "/>
    <s v="Health"/>
    <n v="5818"/>
    <n v="1252"/>
    <n v="687"/>
    <n v="2300"/>
    <n v="25081"/>
    <n v="101212"/>
    <s v="MacBook Air M3 Campaign"/>
    <n v="7.6641109749832044"/>
  </r>
  <r>
    <s v="A117"/>
    <x v="2"/>
    <s v="2024-11-04"/>
    <x v="0"/>
    <s v="AppleEvent "/>
    <s v="iPhone16"/>
    <n v="14015"/>
    <n v="978"/>
    <n v="196"/>
    <n v="2744"/>
    <n v="20190"/>
    <n v="186470"/>
    <s v="Sustainability Awareness Drive"/>
    <n v="8.1455462004611991"/>
  </r>
  <r>
    <s v="A118"/>
    <x v="3"/>
    <s v="2024-11-04"/>
    <x v="2"/>
    <s v="ShotOniPhone"/>
    <m/>
    <n v="14234"/>
    <n v="1013"/>
    <n v="437"/>
    <n v="338"/>
    <n v="67754"/>
    <n v="160030"/>
    <s v="Sustainability Awareness Drive"/>
    <n v="9.8006623758045368"/>
  </r>
  <r>
    <s v="A119"/>
    <x v="1"/>
    <s v="2025-02-07"/>
    <x v="3"/>
    <s v="Sustainability "/>
    <s v="AppleEarth"/>
    <n v="20290"/>
    <n v="619"/>
    <n v="927"/>
    <n v="1186"/>
    <n v="8924"/>
    <n v="96503"/>
    <s v="MacBook Air M3 Campaign"/>
    <n v="22.627275835984374"/>
  </r>
  <r>
    <s v="A120"/>
    <x v="2"/>
    <s v="2024-10-21"/>
    <x v="2"/>
    <s v="AppleEvent "/>
    <s v="iPadPro"/>
    <n v="8254"/>
    <n v="1405"/>
    <n v="165"/>
    <n v="2504"/>
    <n v="8081"/>
    <n v="177710"/>
    <s v="Apple Watch Ultra 2 Launch"/>
    <n v="5.5281075910190758"/>
  </r>
  <r>
    <s v="A121"/>
    <x v="1"/>
    <s v="2024-07-29"/>
    <x v="2"/>
    <s v="AppleWatchUltra2 "/>
    <s v="HealthTech"/>
    <n v="19144"/>
    <n v="1182"/>
    <n v="860"/>
    <n v="1398"/>
    <n v="4185"/>
    <n v="46570"/>
    <s v="Apple Watch Ultra 2 Launch"/>
    <n v="45.492806527807602"/>
  </r>
  <r>
    <s v="A122"/>
    <x v="2"/>
    <s v="2024-10-02"/>
    <x v="2"/>
    <s v="iPhonePhotography "/>
    <s v="ShotOniPhone"/>
    <n v="9350"/>
    <n v="1024"/>
    <n v="550"/>
    <n v="2123"/>
    <n v="53916"/>
    <n v="108785"/>
    <s v="Sustainability Awareness Drive"/>
    <n v="10.041825619340901"/>
  </r>
  <r>
    <s v="A123"/>
    <x v="3"/>
    <s v="2024-06-14"/>
    <x v="2"/>
    <s v="AppleEvent "/>
    <s v="iPhone16"/>
    <n v="17183"/>
    <n v="1224"/>
    <n v="943"/>
    <n v="2010"/>
    <n v="21481"/>
    <n v="49110"/>
    <s v="Sustainability Awareness Drive"/>
    <n v="39.401343921808184"/>
  </r>
  <r>
    <s v="A124"/>
    <x v="0"/>
    <s v="2025-04-06"/>
    <x v="1"/>
    <s v="iPhonePhotography "/>
    <s v="ShotOniPhone"/>
    <n v="8238"/>
    <n v="766"/>
    <n v="235"/>
    <n v="1273"/>
    <n v="4706"/>
    <n v="119141"/>
    <s v="iPhone 16 Launch"/>
    <n v="7.7546772311798629"/>
  </r>
  <r>
    <s v="A125"/>
    <x v="2"/>
    <s v="2024-09-08"/>
    <x v="3"/>
    <s v="AppleWatchUltra2 "/>
    <s v="HealthTech"/>
    <n v="8090"/>
    <n v="570"/>
    <n v="399"/>
    <n v="1862"/>
    <n v="34088"/>
    <n v="52115"/>
    <s v="Apple Watch Ultra 2 Launch"/>
    <n v="17.382711311522595"/>
  </r>
  <r>
    <s v="A126"/>
    <x v="1"/>
    <s v="2025-03-28"/>
    <x v="0"/>
    <s v="AppleWatch "/>
    <s v="Health"/>
    <n v="13637"/>
    <n v="1135"/>
    <n v="540"/>
    <n v="1288"/>
    <n v="45183"/>
    <n v="79062"/>
    <s v="MacBook Air M3 Campaign"/>
    <n v="19.367079001290126"/>
  </r>
  <r>
    <s v="A127"/>
    <x v="3"/>
    <s v="2025-01-27"/>
    <x v="0"/>
    <s v="AppleEvent "/>
    <s v="iPhone16"/>
    <n v="24415"/>
    <n v="860"/>
    <n v="931"/>
    <n v="320"/>
    <n v="65049"/>
    <n v="62911"/>
    <s v="Apple Watch Ultra 2 Launch"/>
    <n v="41.655672298962024"/>
  </r>
  <r>
    <s v="A128"/>
    <x v="2"/>
    <s v="2025-01-10"/>
    <x v="3"/>
    <s v="iPhonePhotography "/>
    <s v="ShotOniPhone"/>
    <n v="14647"/>
    <n v="1168"/>
    <n v="484"/>
    <n v="2650"/>
    <n v="27217"/>
    <n v="144061"/>
    <s v="iPhone 16 Launch"/>
    <n v="11.313957281984715"/>
  </r>
  <r>
    <s v="A129"/>
    <x v="1"/>
    <s v="2024-07-21"/>
    <x v="0"/>
    <s v="AppleEvent "/>
    <s v="iPadPro"/>
    <n v="11911"/>
    <n v="1360"/>
    <n v="778"/>
    <n v="1168"/>
    <n v="16483"/>
    <n v="72556"/>
    <s v="Sustainability Awareness Drive"/>
    <n v="19.362974805667346"/>
  </r>
  <r>
    <s v="A130"/>
    <x v="1"/>
    <s v="2024-09-29"/>
    <x v="3"/>
    <s v="MacBookAirM3 "/>
    <s v="AppleInnovation"/>
    <n v="10472"/>
    <n v="401"/>
    <n v="668"/>
    <n v="383"/>
    <n v="37571"/>
    <n v="249203"/>
    <s v="Sustainability Awareness Drive"/>
    <n v="4.6311641513143904"/>
  </r>
  <r>
    <s v="A131"/>
    <x v="1"/>
    <s v="2024-10-21"/>
    <x v="0"/>
    <s v="iPhone16Launch "/>
    <s v="AppleEvent"/>
    <n v="20271"/>
    <n v="512"/>
    <n v="286"/>
    <n v="1982"/>
    <n v="43225"/>
    <n v="168335"/>
    <s v="iPhone 16 Launch"/>
    <n v="12.516113701844537"/>
  </r>
  <r>
    <s v="A132"/>
    <x v="2"/>
    <s v="2025-03-04"/>
    <x v="2"/>
    <s v="MacBookAirM3 "/>
    <s v="AppleInnovation"/>
    <n v="5266"/>
    <n v="316"/>
    <n v="837"/>
    <n v="2276"/>
    <n v="20967"/>
    <n v="41969"/>
    <s v="MacBook Air M3 Campaign"/>
    <n v="15.294622221163239"/>
  </r>
  <r>
    <s v="A133"/>
    <x v="2"/>
    <s v="2025-02-06"/>
    <x v="0"/>
    <s v="AppleWatchUltra2 "/>
    <s v="HealthTech"/>
    <n v="2666"/>
    <n v="1136"/>
    <n v="989"/>
    <n v="1710"/>
    <n v="36467"/>
    <n v="83753"/>
    <s v="Sustainability Awareness Drive"/>
    <n v="5.72039210535742"/>
  </r>
  <r>
    <s v="A134"/>
    <x v="2"/>
    <d v="2025-10-01T00:00:00"/>
    <x v="3"/>
    <s v="ShotOniPhone"/>
    <m/>
    <n v="6188"/>
    <n v="774"/>
    <n v="647"/>
    <n v="1830"/>
    <n v="55436"/>
    <n v="175542"/>
    <s v="Apple Event September 2025"/>
    <n v="4.3345752013763086"/>
  </r>
  <r>
    <s v="A135"/>
    <x v="0"/>
    <s v="2024-11-28"/>
    <x v="3"/>
    <s v="iPhone16Launch "/>
    <s v="AppleEvent"/>
    <n v="19055"/>
    <n v="443"/>
    <n v="976"/>
    <n v="869"/>
    <n v="75437"/>
    <n v="161863"/>
    <s v="Sustainability Awareness Drive"/>
    <n v="12.648968572187592"/>
  </r>
  <r>
    <s v="A136"/>
    <x v="2"/>
    <d v="2025-10-02T00:00:00"/>
    <x v="3"/>
    <s v="AppleDesign "/>
    <s v="Innovation"/>
    <n v="12161"/>
    <n v="736"/>
    <n v="876"/>
    <n v="1233"/>
    <n v="21337"/>
    <n v="50225"/>
    <s v="Apple Event September 2025"/>
    <n v="27.422598307615729"/>
  </r>
  <r>
    <s v="A137"/>
    <x v="2"/>
    <s v="2024-07-31"/>
    <x v="3"/>
    <s v="AppleEvent "/>
    <s v="iPadPro"/>
    <n v="13314"/>
    <n v="274"/>
    <n v="626"/>
    <n v="2280"/>
    <n v="14639"/>
    <n v="163008"/>
    <s v="iPhone 16 Launch"/>
    <n v="8.7198174322732616"/>
  </r>
  <r>
    <s v="A138"/>
    <x v="2"/>
    <s v="2025-03-29"/>
    <x v="3"/>
    <s v="AppleDesign "/>
    <s v="Innovation"/>
    <n v="23508"/>
    <n v="585"/>
    <n v="743"/>
    <n v="2155"/>
    <n v="3704"/>
    <n v="194268"/>
    <s v="iPhone 16 Launch"/>
    <n v="12.78440093067309"/>
  </r>
  <r>
    <s v="A139"/>
    <x v="0"/>
    <s v="2024-10-29"/>
    <x v="1"/>
    <s v="AppleEvent "/>
    <s v="iPhone16"/>
    <n v="23969"/>
    <n v="1433"/>
    <n v="372"/>
    <n v="1092"/>
    <n v="32147"/>
    <n v="145823"/>
    <s v="Sustainability Awareness Drive"/>
    <n v="17.674852389540742"/>
  </r>
  <r>
    <s v="A140"/>
    <x v="2"/>
    <s v="2024-07-15"/>
    <x v="1"/>
    <s v="AppleMusic "/>
    <s v="AppleLifestyle"/>
    <n v="14891"/>
    <n v="674"/>
    <n v="521"/>
    <n v="1091"/>
    <n v="18101"/>
    <n v="53669"/>
    <s v="Apple Watch Ultra 2 Launch"/>
    <n v="29.972609886526673"/>
  </r>
  <r>
    <s v="A141"/>
    <x v="1"/>
    <d v="2025-10-03T00:00:00"/>
    <x v="0"/>
    <s v="iPhone16Launch "/>
    <s v="AppleEvent"/>
    <n v="6777"/>
    <n v="617"/>
    <n v="551"/>
    <n v="2109"/>
    <n v="18559"/>
    <n v="208452"/>
    <s v="Apple Event September 2025"/>
    <n v="3.8114290100358836"/>
  </r>
  <r>
    <s v="A142"/>
    <x v="2"/>
    <s v="2025-03-25"/>
    <x v="3"/>
    <s v="AppleDesign "/>
    <s v="Innovation"/>
    <n v="5900"/>
    <n v="546"/>
    <n v="592"/>
    <n v="1594"/>
    <n v="38627"/>
    <n v="164398"/>
    <s v="MacBook Air M3 Campaign"/>
    <n v="4.2810739790021781"/>
  </r>
  <r>
    <s v="A143"/>
    <x v="1"/>
    <s v="2024-10-02"/>
    <x v="0"/>
    <s v="AppleDesign "/>
    <s v="Innovation"/>
    <n v="15716"/>
    <n v="839"/>
    <n v="639"/>
    <n v="2839"/>
    <n v="349"/>
    <n v="150677"/>
    <s v="Sustainability Awareness Drive"/>
    <n v="11.411164278556116"/>
  </r>
  <r>
    <s v="A144"/>
    <x v="1"/>
    <s v="2024-10-28"/>
    <x v="3"/>
    <s v="iPhonePhotography "/>
    <s v="ShotOniPhone"/>
    <n v="8981"/>
    <n v="1138"/>
    <n v="764"/>
    <n v="2555"/>
    <n v="92810"/>
    <n v="88320"/>
    <s v="MacBook Air M3 Campaign"/>
    <n v="12.32223731884058"/>
  </r>
  <r>
    <s v="A145"/>
    <x v="1"/>
    <s v="2024-08-12"/>
    <x v="3"/>
    <s v="MacBookAirM3 "/>
    <s v="AppleInnovation"/>
    <n v="8376"/>
    <n v="1154"/>
    <n v="422"/>
    <n v="1907"/>
    <n v="36874"/>
    <n v="218486"/>
    <s v="Sustainability Awareness Drive"/>
    <n v="4.5549829279679246"/>
  </r>
  <r>
    <s v="A146"/>
    <x v="0"/>
    <s v="2024-06-05"/>
    <x v="1"/>
    <s v="iPhonePhotography "/>
    <s v="ShotOniPhone"/>
    <n v="18907"/>
    <n v="1075"/>
    <n v="675"/>
    <n v="1383"/>
    <n v="17875"/>
    <n v="186649"/>
    <s v="Apple Watch Ultra 2 Launch"/>
    <n v="11.067297440650634"/>
  </r>
  <r>
    <s v="A147"/>
    <x v="0"/>
    <s v="2024-10-21"/>
    <x v="1"/>
    <s v="iPhone16Launch "/>
    <s v="AppleEvent"/>
    <n v="20777"/>
    <n v="962"/>
    <n v="308"/>
    <n v="2777"/>
    <n v="25529"/>
    <n v="165354"/>
    <s v="Apple Watch Ultra 2 Launch"/>
    <n v="13.333212380710476"/>
  </r>
  <r>
    <s v="A148"/>
    <x v="0"/>
    <s v="2025-04-15"/>
    <x v="2"/>
    <s v="iPhone16Launch "/>
    <s v="AppleEvent"/>
    <n v="20977"/>
    <n v="1402"/>
    <n v="301"/>
    <n v="1284"/>
    <n v="24620"/>
    <n v="128009"/>
    <s v="Apple Watch Ultra 2 Launch"/>
    <n v="17.717504237983267"/>
  </r>
  <r>
    <s v="A149"/>
    <x v="2"/>
    <s v="2024-06-16"/>
    <x v="1"/>
    <s v="AppleWatchUltra2 "/>
    <s v="HealthTech"/>
    <n v="12160"/>
    <n v="1405"/>
    <n v="769"/>
    <n v="1980"/>
    <n v="33174"/>
    <n v="226481"/>
    <s v="Apple Watch Ultra 2 Launch"/>
    <n v="6.3290077313328714"/>
  </r>
  <r>
    <s v="A150"/>
    <x v="1"/>
    <s v="2024-08-22"/>
    <x v="2"/>
    <s v="iPhonePhotography "/>
    <s v="ShotOniPhone"/>
    <n v="16124"/>
    <n v="863"/>
    <n v="337"/>
    <n v="819"/>
    <n v="85788"/>
    <n v="68625"/>
    <s v="iPhone 16 Launch"/>
    <n v="25.244444444444447"/>
  </r>
  <r>
    <s v="A151"/>
    <x v="0"/>
    <s v="2024-07-26"/>
    <x v="2"/>
    <s v="MacBookProM3"/>
    <m/>
    <n v="18282"/>
    <n v="224"/>
    <n v="962"/>
    <n v="890"/>
    <n v="35105"/>
    <n v="64089"/>
    <s v="iPhone 16 Launch"/>
    <n v="30.376507669022768"/>
  </r>
  <r>
    <s v="A152"/>
    <x v="0"/>
    <d v="2025-10-04T00:00:00"/>
    <x v="2"/>
    <s v="Sustainability "/>
    <s v="AppleEarth"/>
    <n v="12488"/>
    <n v="1403"/>
    <n v="247"/>
    <n v="1350"/>
    <n v="28370"/>
    <n v="76487"/>
    <s v="Apple Event September 2025"/>
    <n v="18.484186855282598"/>
  </r>
  <r>
    <s v="A153"/>
    <x v="2"/>
    <s v="2025-01-01"/>
    <x v="2"/>
    <s v="MacBookAirM3 "/>
    <s v="AppleInnovation"/>
    <n v="24574"/>
    <n v="909"/>
    <n v="280"/>
    <n v="2009"/>
    <n v="6221"/>
    <n v="236910"/>
    <s v="MacBook Air M3 Campaign"/>
    <n v="10.874593727575872"/>
  </r>
  <r>
    <s v="A154"/>
    <x v="0"/>
    <s v="2024-10-09"/>
    <x v="2"/>
    <s v="iPhone16Launch "/>
    <s v="AppleEvent"/>
    <n v="7240"/>
    <n v="1384"/>
    <n v="954"/>
    <n v="2335"/>
    <n v="6757"/>
    <n v="150448"/>
    <s v="Sustainability Awareness Drive"/>
    <n v="6.366319259810699"/>
  </r>
  <r>
    <s v="A155"/>
    <x v="2"/>
    <s v="2024-12-21"/>
    <x v="0"/>
    <s v="AppleWatchUltra2 "/>
    <s v="HealthTech"/>
    <n v="12453"/>
    <n v="376"/>
    <n v="320"/>
    <n v="2546"/>
    <n v="22617"/>
    <n v="90138"/>
    <s v="Sustainability Awareness Drive"/>
    <n v="14.587632297144379"/>
  </r>
  <r>
    <s v="A156"/>
    <x v="3"/>
    <s v="2024-10-22"/>
    <x v="1"/>
    <s v="AppleMusic "/>
    <s v="AppleLifestyle"/>
    <n v="12478"/>
    <n v="484"/>
    <n v="332"/>
    <n v="2734"/>
    <n v="43338"/>
    <n v="213895"/>
    <s v="iPhone 16 Launch"/>
    <n v="6.2151990462610156"/>
  </r>
  <r>
    <s v="A157"/>
    <x v="0"/>
    <s v="2024-07-23"/>
    <x v="2"/>
    <s v="iPhonePhotography "/>
    <s v="ShotOniPhone"/>
    <n v="24877"/>
    <n v="262"/>
    <n v="513"/>
    <n v="648"/>
    <n v="47544"/>
    <n v="208280"/>
    <s v="Sustainability Awareness Drive"/>
    <n v="12.316112924908778"/>
  </r>
  <r>
    <s v="A158"/>
    <x v="3"/>
    <s v="2024-08-11"/>
    <x v="3"/>
    <s v="MacBookAirM3 "/>
    <s v="AppleInnovation"/>
    <n v="14394"/>
    <n v="1202"/>
    <n v="188"/>
    <n v="1259"/>
    <n v="21925"/>
    <n v="94061"/>
    <s v="iPhone 16 Launch"/>
    <n v="16.780599823518781"/>
  </r>
  <r>
    <s v="A159"/>
    <x v="2"/>
    <d v="2025-10-05T00:00:00"/>
    <x v="1"/>
    <s v="AppleMusic "/>
    <s v="AppleLifestyle"/>
    <n v="21262"/>
    <n v="861"/>
    <n v="676"/>
    <n v="2263"/>
    <n v="12085"/>
    <n v="201731"/>
    <s v="Apple Event September 2025"/>
    <n v="11.301683925623726"/>
  </r>
  <r>
    <s v="A160"/>
    <x v="1"/>
    <s v="2024-08-24"/>
    <x v="1"/>
    <s v="iPhonePhotography "/>
    <s v="ShotOniPhone"/>
    <n v="22527"/>
    <n v="865"/>
    <n v="646"/>
    <n v="992"/>
    <n v="18654"/>
    <n v="141376"/>
    <s v="MacBook Air M3 Campaign"/>
    <n v="17.002885921231325"/>
  </r>
  <r>
    <s v="A161"/>
    <x v="0"/>
    <d v="2025-10-06T00:00:00"/>
    <x v="2"/>
    <s v="AppleDesign "/>
    <s v="Innovation"/>
    <n v="22028"/>
    <n v="355"/>
    <n v="665"/>
    <n v="1859"/>
    <n v="50565"/>
    <n v="202962"/>
    <s v="Apple Event September 2025"/>
    <n v="11.355820301337197"/>
  </r>
  <r>
    <s v="A162"/>
    <x v="2"/>
    <s v="2025-04-01"/>
    <x v="0"/>
    <s v="AppleMusic "/>
    <s v="AppleLifestyle"/>
    <n v="6432"/>
    <n v="1272"/>
    <n v="498"/>
    <n v="677"/>
    <n v="47305"/>
    <n v="119134"/>
    <s v="Apple Watch Ultra 2 Launch"/>
    <n v="6.8846844729464296"/>
  </r>
  <r>
    <s v="A163"/>
    <x v="1"/>
    <s v="2025-04-08"/>
    <x v="2"/>
    <s v="AppleWatchUltra2 "/>
    <s v="HealthTech"/>
    <n v="15568"/>
    <n v="1166"/>
    <n v="546"/>
    <n v="826"/>
    <n v="21836"/>
    <n v="87055"/>
    <s v="Apple Watch Ultra 2 Launch"/>
    <n v="19.84952041812647"/>
  </r>
  <r>
    <s v="A164"/>
    <x v="1"/>
    <s v="2025-02-27"/>
    <x v="0"/>
    <s v="MacBookAirM3 "/>
    <s v="AppleInnovation"/>
    <n v="16178"/>
    <n v="1048"/>
    <n v="871"/>
    <n v="2553"/>
    <n v="39025"/>
    <n v="59508"/>
    <s v="Apple Watch Ultra 2 Launch"/>
    <n v="30.411037171472742"/>
  </r>
  <r>
    <s v="A165"/>
    <x v="3"/>
    <d v="2025-10-07T00:00:00"/>
    <x v="3"/>
    <s v="AppleWatch "/>
    <s v="Health"/>
    <n v="19660"/>
    <n v="1307"/>
    <n v="310"/>
    <n v="2802"/>
    <n v="22171"/>
    <n v="213359"/>
    <s v="Apple Event September 2025"/>
    <n v="9.9723939463533284"/>
  </r>
  <r>
    <s v="A166"/>
    <x v="2"/>
    <s v="2025-02-16"/>
    <x v="1"/>
    <s v="AppleEvent "/>
    <s v="iPhone16"/>
    <n v="24195"/>
    <n v="888"/>
    <n v="165"/>
    <n v="1559"/>
    <n v="11596"/>
    <n v="249988"/>
    <s v="Sustainability Awareness Drive"/>
    <n v="10.099684784869673"/>
  </r>
  <r>
    <s v="A167"/>
    <x v="1"/>
    <s v="2024-11-28"/>
    <x v="3"/>
    <s v="AppleEvent "/>
    <s v="iPhone16"/>
    <n v="2302"/>
    <n v="347"/>
    <n v="642"/>
    <n v="2175"/>
    <n v="56378"/>
    <n v="198056"/>
    <s v="MacBook Air M3 Campaign"/>
    <n v="1.6616512501514722"/>
  </r>
  <r>
    <s v="A168"/>
    <x v="0"/>
    <s v="2024-11-12"/>
    <x v="0"/>
    <s v="MacBookAirM3 "/>
    <s v="AppleInnovation"/>
    <n v="19022"/>
    <n v="541"/>
    <n v="575"/>
    <n v="2063"/>
    <n v="42743"/>
    <n v="150169"/>
    <s v="Apple Watch Ultra 2 Launch"/>
    <n v="13.410224480418728"/>
  </r>
  <r>
    <s v="A169"/>
    <x v="0"/>
    <s v="2024-12-03"/>
    <x v="0"/>
    <s v="AppleMusic "/>
    <s v="AppleLifestyle"/>
    <n v="2055"/>
    <n v="675"/>
    <n v="257"/>
    <n v="820"/>
    <n v="33534"/>
    <n v="48125"/>
    <s v="Apple Watch Ultra 2 Launch"/>
    <n v="6.2067532467532462"/>
  </r>
  <r>
    <s v="A170"/>
    <x v="3"/>
    <s v="2025-04-28"/>
    <x v="3"/>
    <s v="iPhonePhotography "/>
    <s v="ShotOniPhone"/>
    <n v="15013"/>
    <n v="1286"/>
    <n v="599"/>
    <n v="2001"/>
    <n v="67839"/>
    <n v="76059"/>
    <s v="Apple Watch Ultra 2 Launch"/>
    <n v="22.216963147030594"/>
  </r>
  <r>
    <s v="A171"/>
    <x v="1"/>
    <s v="2024-12-31"/>
    <x v="0"/>
    <s v="AppleWatchUltra2 "/>
    <s v="HealthTech"/>
    <n v="10717"/>
    <n v="760"/>
    <n v="460"/>
    <n v="1316"/>
    <n v="18164"/>
    <n v="240641"/>
    <s v="MacBook Air M3 Campaign"/>
    <n v="4.9605013277039243"/>
  </r>
  <r>
    <s v="A172"/>
    <x v="2"/>
    <s v="2024-08-14"/>
    <x v="3"/>
    <s v="Sustainability "/>
    <s v="AppleEarth"/>
    <n v="10150"/>
    <n v="526"/>
    <n v="888"/>
    <n v="1313"/>
    <n v="51605"/>
    <n v="143409"/>
    <s v="Apple Watch Ultra 2 Launch"/>
    <n v="8.063650119588031"/>
  </r>
  <r>
    <s v="A173"/>
    <x v="0"/>
    <s v="2024-12-05"/>
    <x v="1"/>
    <s v="AppleEvent "/>
    <s v="iPhone16"/>
    <n v="4125"/>
    <n v="1364"/>
    <n v="319"/>
    <n v="2848"/>
    <n v="15379"/>
    <n v="188159"/>
    <s v="MacBook Air M3 Campaign"/>
    <n v="3.0867510988047342"/>
  </r>
  <r>
    <s v="A174"/>
    <x v="1"/>
    <s v="2024-06-22"/>
    <x v="3"/>
    <s v="AppleWatchUltra2 "/>
    <s v="HealthTech"/>
    <n v="13479"/>
    <n v="1189"/>
    <n v="695"/>
    <n v="416"/>
    <n v="30229"/>
    <n v="45704"/>
    <s v="Apple Watch Ultra 2 Launch"/>
    <n v="33.61412567827761"/>
  </r>
  <r>
    <s v="A175"/>
    <x v="1"/>
    <d v="2025-10-08T00:00:00"/>
    <x v="1"/>
    <s v="AppleEvent "/>
    <s v="iPhone16"/>
    <n v="17745"/>
    <n v="414"/>
    <n v="563"/>
    <n v="2733"/>
    <n v="995"/>
    <n v="231648"/>
    <s v="Apple Event September 2025"/>
    <n v="8.0820900676889078"/>
  </r>
  <r>
    <s v="A176"/>
    <x v="3"/>
    <d v="2025-10-09T00:00:00"/>
    <x v="3"/>
    <s v="AppleDesign "/>
    <s v="Innovation"/>
    <n v="18748"/>
    <n v="634"/>
    <n v="400"/>
    <n v="1667"/>
    <n v="75813"/>
    <n v="244456"/>
    <s v="Apple Event September 2025"/>
    <n v="8.0922538207284749"/>
  </r>
  <r>
    <s v="A177"/>
    <x v="0"/>
    <s v="2024-07-10"/>
    <x v="0"/>
    <s v="iPhonePhotography "/>
    <s v="ShotOniPhone"/>
    <n v="8809"/>
    <n v="1151"/>
    <n v="908"/>
    <n v="883"/>
    <n v="42921"/>
    <n v="151279"/>
    <s v="MacBook Air M3 Campaign"/>
    <n v="7.1840771025720684"/>
  </r>
  <r>
    <s v="A178"/>
    <x v="0"/>
    <d v="2025-10-10T00:00:00"/>
    <x v="3"/>
    <s v="AppleDesign "/>
    <s v="Innovation"/>
    <n v="6621"/>
    <n v="922"/>
    <n v="930"/>
    <n v="694"/>
    <n v="839"/>
    <n v="243532"/>
    <s v="Apple Event September 2025"/>
    <n v="3.4792142305733949"/>
  </r>
  <r>
    <s v="A179"/>
    <x v="2"/>
    <s v="2024-07-15"/>
    <x v="0"/>
    <s v="AppleEvent "/>
    <s v="iPhone16"/>
    <n v="17034"/>
    <n v="231"/>
    <n v="290"/>
    <n v="1387"/>
    <n v="63550"/>
    <n v="198280"/>
    <s v="MacBook Air M3 Campaign"/>
    <n v="8.8536413153116804"/>
  </r>
  <r>
    <s v="A180"/>
    <x v="0"/>
    <d v="2025-10-11T00:00:00"/>
    <x v="3"/>
    <s v="AppleWatch "/>
    <s v="Health"/>
    <n v="15623"/>
    <n v="869"/>
    <n v="423"/>
    <n v="371"/>
    <n v="47579"/>
    <n v="158516"/>
    <s v="Apple Event September 2025"/>
    <n v="10.670847106916652"/>
  </r>
  <r>
    <s v="A181"/>
    <x v="2"/>
    <d v="2025-10-12T00:00:00"/>
    <x v="3"/>
    <s v="AppleWatch "/>
    <s v="Health"/>
    <n v="7126"/>
    <n v="484"/>
    <n v="565"/>
    <n v="573"/>
    <n v="7389"/>
    <n v="237096"/>
    <s v="Apple Event September 2025"/>
    <n v="3.4479704423524646"/>
  </r>
  <r>
    <s v="A182"/>
    <x v="0"/>
    <s v="2024-07-31"/>
    <x v="2"/>
    <s v="AppleDesign "/>
    <s v="Innovation"/>
    <n v="7122"/>
    <n v="628"/>
    <n v="757"/>
    <n v="2313"/>
    <n v="50924"/>
    <n v="210954"/>
    <s v="MacBook Air M3 Campaign"/>
    <n v="4.032632706656428"/>
  </r>
  <r>
    <s v="A183"/>
    <x v="3"/>
    <s v="2024-12-17"/>
    <x v="0"/>
    <s v="AppleWatch "/>
    <s v="Health"/>
    <n v="20030"/>
    <n v="485"/>
    <n v="888"/>
    <n v="1643"/>
    <n v="4322"/>
    <n v="196995"/>
    <s v="Sustainability Awareness Drive"/>
    <n v="10.864742759968527"/>
  </r>
  <r>
    <s v="A184"/>
    <x v="0"/>
    <d v="2025-10-13T00:00:00"/>
    <x v="2"/>
    <s v="AppleEvent "/>
    <s v="iPhone16"/>
    <n v="19302"/>
    <n v="1367"/>
    <n v="188"/>
    <n v="637"/>
    <n v="31404"/>
    <n v="154044"/>
    <s v="Apple Event September 2025"/>
    <n v="13.53963802549921"/>
  </r>
  <r>
    <s v="A185"/>
    <x v="2"/>
    <s v="2025-01-11"/>
    <x v="0"/>
    <s v="MacBookAirM3 "/>
    <s v="AppleInnovation"/>
    <n v="21181"/>
    <n v="1242"/>
    <n v="963"/>
    <n v="1689"/>
    <n v="49329"/>
    <n v="69165"/>
    <s v="Apple Watch Ultra 2 Launch"/>
    <n v="33.811899081905587"/>
  </r>
  <r>
    <s v="A186"/>
    <x v="2"/>
    <s v="2024-08-24"/>
    <x v="2"/>
    <s v="AppleDesign "/>
    <s v="Innovation"/>
    <n v="24890"/>
    <n v="217"/>
    <n v="178"/>
    <n v="906"/>
    <n v="54826"/>
    <n v="107203"/>
    <s v="Sustainability Awareness Drive"/>
    <n v="23.586093672751694"/>
  </r>
  <r>
    <s v="A187"/>
    <x v="3"/>
    <s v="2024-12-22"/>
    <x v="1"/>
    <s v="Sustainability "/>
    <s v="AppleEarth"/>
    <n v="7870"/>
    <n v="968"/>
    <n v="626"/>
    <n v="465"/>
    <n v="27184"/>
    <n v="44114"/>
    <s v="MacBook Air M3 Campaign"/>
    <n v="21.453506823230718"/>
  </r>
  <r>
    <s v="A188"/>
    <x v="0"/>
    <s v="2024-06-06"/>
    <x v="3"/>
    <s v="Sustainability "/>
    <s v="AppleEarth"/>
    <n v="3531"/>
    <n v="789"/>
    <n v="467"/>
    <n v="1867"/>
    <n v="40816"/>
    <n v="236037"/>
    <s v="Sustainability Awareness Drive"/>
    <n v="2.0280718700881639"/>
  </r>
  <r>
    <s v="A189"/>
    <x v="0"/>
    <s v="2025-03-24"/>
    <x v="0"/>
    <s v="ShotOniPhone"/>
    <m/>
    <n v="10172"/>
    <n v="1398"/>
    <n v="394"/>
    <n v="2358"/>
    <n v="59610"/>
    <n v="76321"/>
    <s v="iPhone 16 Launch"/>
    <n v="15.675895231980713"/>
  </r>
  <r>
    <s v="A190"/>
    <x v="3"/>
    <s v="2024-10-04"/>
    <x v="0"/>
    <s v="AppleMusic "/>
    <s v="AppleLifestyle"/>
    <n v="21729"/>
    <n v="1209"/>
    <n v="897"/>
    <n v="1624"/>
    <n v="38771"/>
    <n v="113297"/>
    <s v="iPhone 16 Launch"/>
    <n v="21.037626768581692"/>
  </r>
  <r>
    <s v="A191"/>
    <x v="0"/>
    <d v="2025-10-14T00:00:00"/>
    <x v="3"/>
    <s v="iPhonePhotography "/>
    <s v="ShotOniPhone"/>
    <n v="9673"/>
    <n v="393"/>
    <n v="846"/>
    <n v="1028"/>
    <n v="55556"/>
    <n v="136652"/>
    <s v="Apple Event September 2025"/>
    <n v="7.9852471972601942"/>
  </r>
  <r>
    <s v="A192"/>
    <x v="0"/>
    <d v="2025-10-15T00:00:00"/>
    <x v="0"/>
    <s v="AppleWatch "/>
    <s v="Health"/>
    <n v="8882"/>
    <n v="701"/>
    <n v="421"/>
    <n v="2343"/>
    <n v="13588"/>
    <n v="139304"/>
    <s v="Apple Event September 2025"/>
    <n v="7.1814161833113195"/>
  </r>
  <r>
    <s v="A193"/>
    <x v="2"/>
    <s v="2024-09-11"/>
    <x v="0"/>
    <s v="AppleWatch "/>
    <s v="Health"/>
    <n v="3906"/>
    <n v="1187"/>
    <n v="589"/>
    <n v="401"/>
    <n v="52687"/>
    <n v="196498"/>
    <s v="Apple Watch Ultra 2 Launch"/>
    <n v="2.8916324848090058"/>
  </r>
  <r>
    <s v="A194"/>
    <x v="0"/>
    <s v="2024-10-02"/>
    <x v="2"/>
    <s v="AppleMusic "/>
    <s v="AppleLifestyle"/>
    <n v="5086"/>
    <n v="1336"/>
    <n v="897"/>
    <n v="1715"/>
    <n v="60592"/>
    <n v="57772"/>
    <s v="Sustainability Awareness Drive"/>
    <n v="12.668766876687668"/>
  </r>
  <r>
    <s v="A195"/>
    <x v="0"/>
    <s v="2024-08-15"/>
    <x v="0"/>
    <s v="iPhone16Launch "/>
    <s v="AppleEvent"/>
    <n v="15503"/>
    <n v="313"/>
    <n v="388"/>
    <n v="1078"/>
    <n v="11500"/>
    <n v="143754"/>
    <s v="iPhone 16 Launch"/>
    <n v="11.27203416948398"/>
  </r>
  <r>
    <s v="A196"/>
    <x v="3"/>
    <d v="2025-09-18T00:00:00"/>
    <x v="1"/>
    <s v="MacBookProM3"/>
    <m/>
    <n v="10152"/>
    <n v="1445"/>
    <n v="526"/>
    <n v="513"/>
    <n v="18959"/>
    <n v="43712"/>
    <s v="Apple Event September 2025"/>
    <n v="27.733803074670572"/>
  </r>
  <r>
    <s v="A197"/>
    <x v="3"/>
    <s v="2024-10-22"/>
    <x v="1"/>
    <s v="AppleDesign "/>
    <s v="Innovation"/>
    <n v="7750"/>
    <n v="1146"/>
    <n v="415"/>
    <n v="1411"/>
    <n v="85339"/>
    <n v="172439"/>
    <s v="Sustainability Awareness Drive"/>
    <n v="5.3995905798572243"/>
  </r>
  <r>
    <s v="A198"/>
    <x v="1"/>
    <d v="2025-09-19T00:00:00"/>
    <x v="3"/>
    <s v="AppleEvent "/>
    <s v="iPadPro"/>
    <n v="14772"/>
    <n v="1030"/>
    <n v="508"/>
    <n v="1876"/>
    <n v="8882"/>
    <n v="155142"/>
    <s v="Apple Event September 2025"/>
    <n v="10.512949426976578"/>
  </r>
  <r>
    <s v="A199"/>
    <x v="2"/>
    <d v="2025-09-20T00:00:00"/>
    <x v="0"/>
    <s v="AppleWatch "/>
    <s v="Health"/>
    <n v="12267"/>
    <n v="1487"/>
    <n v="489"/>
    <n v="2748"/>
    <n v="34685"/>
    <n v="131736"/>
    <s v="Apple Event September 2025"/>
    <n v="10.811775065282079"/>
  </r>
  <r>
    <s v="A200"/>
    <x v="0"/>
    <s v="2025-04-07"/>
    <x v="3"/>
    <s v="iPhonePhotography "/>
    <s v="ShotOniPhone"/>
    <n v="3062"/>
    <n v="1124"/>
    <n v="538"/>
    <n v="2935"/>
    <n v="69749"/>
    <n v="91924"/>
    <s v="iPhone 16 Launch"/>
    <n v="5.1390278926069364"/>
  </r>
  <r>
    <s v="A201"/>
    <x v="0"/>
    <s v="2025-01-15"/>
    <x v="1"/>
    <s v="ShotOniPhone"/>
    <m/>
    <n v="20360"/>
    <n v="254"/>
    <n v="726"/>
    <n v="1995"/>
    <n v="14280"/>
    <n v="43726"/>
    <s v="iPhone 16 Launch"/>
    <n v="48.803915290673736"/>
  </r>
  <r>
    <s v="A202"/>
    <x v="1"/>
    <d v="2025-09-21T00:00:00"/>
    <x v="0"/>
    <s v="Sustainability "/>
    <s v="AppleEarth"/>
    <n v="19680"/>
    <n v="999"/>
    <n v="838"/>
    <n v="891"/>
    <n v="29576"/>
    <n v="129152"/>
    <s v="Apple Event September 2025"/>
    <n v="16.660214321110008"/>
  </r>
  <r>
    <s v="A203"/>
    <x v="0"/>
    <s v="2024-11-21"/>
    <x v="0"/>
    <s v="AppleWatch "/>
    <s v="Health"/>
    <n v="8229"/>
    <n v="977"/>
    <n v="152"/>
    <n v="1633"/>
    <n v="71447"/>
    <n v="67723"/>
    <s v="MacBook Air M3 Campaign"/>
    <n v="13.818052950991538"/>
  </r>
  <r>
    <s v="A204"/>
    <x v="2"/>
    <d v="2025-09-22T00:00:00"/>
    <x v="3"/>
    <s v="ShotOniPhone"/>
    <m/>
    <n v="18509"/>
    <n v="361"/>
    <n v="578"/>
    <n v="1409"/>
    <n v="10569"/>
    <n v="166969"/>
    <s v="Apple Event September 2025"/>
    <n v="11.647671124580011"/>
  </r>
  <r>
    <s v="A205"/>
    <x v="1"/>
    <d v="2025-09-23T00:00:00"/>
    <x v="1"/>
    <s v="AppleEvent "/>
    <s v="iPhone16"/>
    <n v="17147"/>
    <n v="286"/>
    <n v="291"/>
    <n v="2439"/>
    <n v="45631"/>
    <n v="140494"/>
    <s v="Apple Event September 2025"/>
    <n v="12.615485358805358"/>
  </r>
  <r>
    <s v="A206"/>
    <x v="2"/>
    <s v="2024-06-24"/>
    <x v="0"/>
    <s v="AppleEvent "/>
    <s v="iPhone16"/>
    <n v="6632"/>
    <n v="254"/>
    <n v="525"/>
    <n v="1013"/>
    <n v="13838"/>
    <n v="180180"/>
    <s v="Apple Watch Ultra 2 Launch"/>
    <n v="4.1131091131091129"/>
  </r>
  <r>
    <s v="A207"/>
    <x v="1"/>
    <s v="2024-12-29"/>
    <x v="3"/>
    <s v="MacBookProM3"/>
    <m/>
    <n v="8288"/>
    <n v="1401"/>
    <n v="819"/>
    <n v="1235"/>
    <n v="33446"/>
    <n v="248786"/>
    <s v="Apple Watch Ultra 2 Launch"/>
    <n v="4.2237103373984066"/>
  </r>
  <r>
    <s v="A208"/>
    <x v="1"/>
    <s v="2024-06-24"/>
    <x v="1"/>
    <s v="MacBookAirM3 "/>
    <s v="AppleInnovation"/>
    <n v="5596"/>
    <n v="1231"/>
    <n v="473"/>
    <n v="2251"/>
    <n v="43705"/>
    <n v="75643"/>
    <s v="Apple Watch Ultra 2 Launch"/>
    <n v="9.6505955607260425"/>
  </r>
  <r>
    <s v="A209"/>
    <x v="3"/>
    <s v="2025-03-19"/>
    <x v="3"/>
    <s v="AppleEvent "/>
    <s v="iPadPro"/>
    <n v="13475"/>
    <n v="1032"/>
    <n v="295"/>
    <n v="541"/>
    <n v="43666"/>
    <n v="202396"/>
    <s v="MacBook Air M3 Campaign"/>
    <n v="7.3133856400324122"/>
  </r>
  <r>
    <s v="A210"/>
    <x v="2"/>
    <s v="2025-02-19"/>
    <x v="2"/>
    <s v="iPhone16Launch "/>
    <s v="AppleEvent"/>
    <n v="8168"/>
    <n v="512"/>
    <n v="442"/>
    <n v="2343"/>
    <n v="2753"/>
    <n v="143896"/>
    <s v="MacBook Air M3 Campaign"/>
    <n v="6.3393006059932171"/>
  </r>
  <r>
    <s v="A211"/>
    <x v="0"/>
    <d v="2025-09-24T00:00:00"/>
    <x v="0"/>
    <s v="MacBookProM3"/>
    <m/>
    <n v="11795"/>
    <n v="958"/>
    <n v="814"/>
    <n v="301"/>
    <n v="12564"/>
    <n v="179999"/>
    <s v="Apple Event September 2025"/>
    <n v="7.5372640959116444"/>
  </r>
  <r>
    <s v="A212"/>
    <x v="0"/>
    <s v="2025-03-03"/>
    <x v="2"/>
    <s v="AppleWatchUltra2 "/>
    <s v="HealthTech"/>
    <n v="9561"/>
    <n v="642"/>
    <n v="581"/>
    <n v="2572"/>
    <n v="38552"/>
    <n v="133680"/>
    <s v="Apple Watch Ultra 2 Launch"/>
    <n v="8.0670257330939563"/>
  </r>
  <r>
    <s v="A213"/>
    <x v="2"/>
    <s v="2025-05-01"/>
    <x v="1"/>
    <s v="iPhone16Launch "/>
    <s v="AppleEvent"/>
    <n v="10258"/>
    <n v="527"/>
    <n v="854"/>
    <n v="2068"/>
    <n v="45632"/>
    <n v="136546"/>
    <s v="MacBook Air M3 Campaign"/>
    <n v="8.5238674146441493"/>
  </r>
  <r>
    <s v="A214"/>
    <x v="0"/>
    <s v="2024-12-23"/>
    <x v="2"/>
    <s v="AppleDesign "/>
    <s v="Innovation"/>
    <n v="18616"/>
    <n v="1277"/>
    <n v="734"/>
    <n v="2249"/>
    <n v="3399"/>
    <n v="193515"/>
    <s v="iPhone 16 Launch"/>
    <n v="10.659122031883832"/>
  </r>
  <r>
    <s v="A215"/>
    <x v="0"/>
    <d v="2025-09-25T00:00:00"/>
    <x v="2"/>
    <s v="iPhonePhotography "/>
    <s v="ShotOniPhone"/>
    <n v="8371"/>
    <n v="960"/>
    <n v="548"/>
    <n v="2936"/>
    <n v="82543"/>
    <n v="119973"/>
    <s v="Apple Event September 2025"/>
    <n v="8.2343527293641063"/>
  </r>
  <r>
    <s v="A216"/>
    <x v="2"/>
    <s v="2024-07-29"/>
    <x v="1"/>
    <s v="AppleWatchUltra2 "/>
    <s v="HealthTech"/>
    <n v="22590"/>
    <n v="1462"/>
    <n v="966"/>
    <n v="2463"/>
    <n v="29689"/>
    <n v="103449"/>
    <s v="Sustainability Awareness Drive"/>
    <n v="24.183897379385012"/>
  </r>
  <r>
    <s v="A217"/>
    <x v="1"/>
    <d v="2025-09-26T00:00:00"/>
    <x v="3"/>
    <s v="AppleWatchUltra2 "/>
    <s v="HealthTech"/>
    <n v="16369"/>
    <n v="1452"/>
    <n v="493"/>
    <n v="1217"/>
    <n v="91440"/>
    <n v="149834"/>
    <s v="Apple Event September 2025"/>
    <n v="12.222859965027965"/>
  </r>
  <r>
    <s v="A218"/>
    <x v="2"/>
    <s v="2024-06-11"/>
    <x v="2"/>
    <s v="MacBookProM3"/>
    <m/>
    <n v="14910"/>
    <n v="778"/>
    <n v="289"/>
    <n v="2541"/>
    <n v="14309"/>
    <n v="247815"/>
    <s v="Sustainability Awareness Drive"/>
    <n v="6.4471480741682292"/>
  </r>
  <r>
    <s v="A219"/>
    <x v="1"/>
    <s v="2025-01-28"/>
    <x v="3"/>
    <s v="AppleMusic "/>
    <s v="AppleLifestyle"/>
    <n v="9943"/>
    <n v="1274"/>
    <n v="336"/>
    <n v="389"/>
    <n v="6145"/>
    <n v="231305"/>
    <s v="Apple Watch Ultra 2 Launch"/>
    <n v="4.994703962300858"/>
  </r>
  <r>
    <s v="A220"/>
    <x v="0"/>
    <s v="2024-06-02"/>
    <x v="2"/>
    <s v="MacBookAirM3 "/>
    <s v="AppleInnovation"/>
    <n v="14199"/>
    <n v="1206"/>
    <n v="954"/>
    <n v="2009"/>
    <n v="8"/>
    <n v="65537"/>
    <s v="Sustainability Awareness Drive"/>
    <n v="24.961472145505592"/>
  </r>
  <r>
    <s v="A221"/>
    <x v="0"/>
    <s v="2025-03-23"/>
    <x v="3"/>
    <s v="AppleMusic "/>
    <s v="AppleLifestyle"/>
    <n v="17728"/>
    <n v="1487"/>
    <n v="210"/>
    <n v="2469"/>
    <n v="30565"/>
    <n v="117576"/>
    <s v="Apple Watch Ultra 2 Launch"/>
    <n v="16.521228822208613"/>
  </r>
  <r>
    <s v="A222"/>
    <x v="0"/>
    <s v="2024-10-08"/>
    <x v="1"/>
    <s v="MacBookProM3"/>
    <m/>
    <n v="8738"/>
    <n v="295"/>
    <n v="529"/>
    <n v="442"/>
    <n v="25286"/>
    <n v="147522"/>
    <s v="iPhone 16 Launch"/>
    <n v="6.4817450956467511"/>
  </r>
  <r>
    <s v="A223"/>
    <x v="3"/>
    <s v="2024-11-12"/>
    <x v="2"/>
    <s v="AppleDesign "/>
    <s v="Innovation"/>
    <n v="17913"/>
    <n v="1311"/>
    <n v="859"/>
    <n v="405"/>
    <n v="59842"/>
    <n v="62612"/>
    <s v="Sustainability Awareness Drive"/>
    <n v="32.075321024723699"/>
  </r>
  <r>
    <s v="A224"/>
    <x v="1"/>
    <d v="2025-09-07T00:00:00"/>
    <x v="1"/>
    <s v="Sustainability "/>
    <s v="AppleEarth"/>
    <n v="4472"/>
    <n v="1301"/>
    <n v="956"/>
    <n v="1186"/>
    <n v="3363"/>
    <n v="46471"/>
    <s v="Apple Event September 2025"/>
    <n v="14.479998278496268"/>
  </r>
  <r>
    <s v="A225"/>
    <x v="3"/>
    <s v="2024-06-20"/>
    <x v="2"/>
    <s v="AppleWatch "/>
    <s v="Health"/>
    <n v="21123"/>
    <n v="1343"/>
    <n v="589"/>
    <n v="727"/>
    <n v="87833"/>
    <n v="206703"/>
    <s v="Apple Watch Ultra 2 Launch"/>
    <n v="11.153684271636116"/>
  </r>
  <r>
    <s v="A226"/>
    <x v="3"/>
    <d v="2025-09-08T00:00:00"/>
    <x v="1"/>
    <s v="AppleWatch "/>
    <s v="Health"/>
    <n v="23785"/>
    <n v="1013"/>
    <n v="468"/>
    <n v="1628"/>
    <n v="8272"/>
    <n v="71348"/>
    <s v="Apple Event September 2025"/>
    <n v="35.412345125301343"/>
  </r>
  <r>
    <s v="A227"/>
    <x v="2"/>
    <s v="2024-06-12"/>
    <x v="1"/>
    <s v="MacBookAirM3 "/>
    <s v="AppleInnovation"/>
    <n v="17679"/>
    <n v="690"/>
    <n v="451"/>
    <n v="2195"/>
    <n v="4390"/>
    <n v="235804"/>
    <s v="MacBook Air M3 Campaign"/>
    <n v="7.9812047293514956"/>
  </r>
  <r>
    <s v="A228"/>
    <x v="3"/>
    <s v="2024-07-01"/>
    <x v="2"/>
    <s v="AppleDesign "/>
    <s v="Innovation"/>
    <n v="3761"/>
    <n v="651"/>
    <n v="493"/>
    <n v="2294"/>
    <n v="71696"/>
    <n v="41177"/>
    <s v="Apple Watch Ultra 2 Launch"/>
    <n v="11.911989702989532"/>
  </r>
  <r>
    <s v="A229"/>
    <x v="2"/>
    <s v="2024-07-03"/>
    <x v="2"/>
    <s v="MacBookAirM3 "/>
    <s v="AppleInnovation"/>
    <n v="12167"/>
    <n v="364"/>
    <n v="160"/>
    <n v="616"/>
    <n v="42228"/>
    <n v="175832"/>
    <s v="Sustainability Awareness Drive"/>
    <n v="7.217685063014696"/>
  </r>
  <r>
    <s v="A230"/>
    <x v="2"/>
    <s v="2024-07-15"/>
    <x v="2"/>
    <s v="ShotOniPhone"/>
    <m/>
    <n v="12554"/>
    <n v="381"/>
    <n v="211"/>
    <n v="2286"/>
    <n v="50567"/>
    <n v="72779"/>
    <s v="Apple Watch Ultra 2 Launch"/>
    <n v="18.062902760411657"/>
  </r>
  <r>
    <s v="A231"/>
    <x v="3"/>
    <d v="2025-09-09T00:00:00"/>
    <x v="0"/>
    <s v="AppleMusic "/>
    <s v="AppleLifestyle"/>
    <n v="19260"/>
    <n v="668"/>
    <n v="994"/>
    <n v="934"/>
    <n v="20509"/>
    <n v="61636"/>
    <s v="Apple Event September 2025"/>
    <n v="33.944448049841"/>
  </r>
  <r>
    <s v="A232"/>
    <x v="1"/>
    <s v="2025-04-29"/>
    <x v="3"/>
    <s v="AppleWatch "/>
    <s v="Health"/>
    <n v="16277"/>
    <n v="1109"/>
    <n v="375"/>
    <n v="2225"/>
    <n v="1044"/>
    <n v="121889"/>
    <s v="iPhone 16 Launch"/>
    <n v="14.571454356012437"/>
  </r>
  <r>
    <s v="A233"/>
    <x v="1"/>
    <s v="2025-03-08"/>
    <x v="0"/>
    <s v="AppleWatchUltra2 "/>
    <s v="HealthTech"/>
    <n v="5812"/>
    <n v="934"/>
    <n v="302"/>
    <n v="2356"/>
    <n v="37437"/>
    <n v="93551"/>
    <s v="Apple Watch Ultra 2 Launch"/>
    <n v="7.5338585370546554"/>
  </r>
  <r>
    <s v="A234"/>
    <x v="1"/>
    <s v="2024-06-01"/>
    <x v="0"/>
    <s v="AppleMusic "/>
    <s v="AppleLifestyle"/>
    <n v="19844"/>
    <n v="1022"/>
    <n v="860"/>
    <n v="2570"/>
    <n v="23719"/>
    <n v="182628"/>
    <s v="Sustainability Awareness Drive"/>
    <n v="11.896313818253498"/>
  </r>
  <r>
    <s v="A235"/>
    <x v="1"/>
    <s v="2024-12-22"/>
    <x v="1"/>
    <s v="AppleEvent "/>
    <s v="iPadPro"/>
    <n v="20117"/>
    <n v="1143"/>
    <n v="713"/>
    <n v="1739"/>
    <n v="34444"/>
    <n v="198670"/>
    <s v="MacBook Air M3 Campaign"/>
    <n v="11.060049328031409"/>
  </r>
  <r>
    <s v="A236"/>
    <x v="1"/>
    <s v="2024-08-19"/>
    <x v="2"/>
    <s v="iPhonePhotography "/>
    <s v="ShotOniPhone"/>
    <n v="3605"/>
    <n v="206"/>
    <n v="921"/>
    <n v="852"/>
    <n v="11660"/>
    <n v="182635"/>
    <s v="iPhone 16 Launch"/>
    <n v="2.590960111698196"/>
  </r>
  <r>
    <s v="A237"/>
    <x v="3"/>
    <s v="2024-10-22"/>
    <x v="3"/>
    <s v="AppleDesign "/>
    <s v="Innovation"/>
    <n v="7622"/>
    <n v="529"/>
    <n v="720"/>
    <n v="1015"/>
    <n v="71322"/>
    <n v="86819"/>
    <s v="MacBook Air M3 Campaign"/>
    <n v="10.217809465669957"/>
  </r>
  <r>
    <s v="A238"/>
    <x v="3"/>
    <s v="2024-07-16"/>
    <x v="1"/>
    <s v="iPhone16Launch "/>
    <s v="AppleEvent"/>
    <n v="8767"/>
    <n v="974"/>
    <n v="733"/>
    <n v="1587"/>
    <n v="74927"/>
    <n v="113770"/>
    <s v="Apple Watch Ultra 2 Launch"/>
    <n v="9.2062933989628206"/>
  </r>
  <r>
    <s v="A239"/>
    <x v="0"/>
    <d v="2025-09-10T00:00:00"/>
    <x v="0"/>
    <s v="MacBookAirM3 "/>
    <s v="AppleInnovation"/>
    <n v="13613"/>
    <n v="350"/>
    <n v="809"/>
    <n v="2013"/>
    <n v="20471"/>
    <n v="198038"/>
    <s v="Apple Event September 2025"/>
    <n v="7.4591745018632789"/>
  </r>
  <r>
    <s v="A240"/>
    <x v="1"/>
    <d v="2025-09-11T00:00:00"/>
    <x v="2"/>
    <s v="AppleMusic "/>
    <s v="AppleLifestyle"/>
    <n v="21901"/>
    <n v="1308"/>
    <n v="724"/>
    <n v="2183"/>
    <n v="15996"/>
    <n v="230961"/>
    <s v="Apple Event September 2025"/>
    <n v="10.362355549205276"/>
  </r>
  <r>
    <s v="A241"/>
    <x v="3"/>
    <s v="2025-01-18"/>
    <x v="1"/>
    <s v="iPhonePhotography "/>
    <s v="ShotOniPhone"/>
    <n v="12589"/>
    <n v="346"/>
    <n v="459"/>
    <n v="1407"/>
    <n v="29254"/>
    <n v="198059"/>
    <s v="Sustainability Awareness Drive"/>
    <n v="6.7626313371268161"/>
  </r>
  <r>
    <s v="A242"/>
    <x v="0"/>
    <d v="2025-09-12T00:00:00"/>
    <x v="2"/>
    <s v="AppleMusic "/>
    <s v="AppleLifestyle"/>
    <n v="15918"/>
    <n v="1114"/>
    <n v="392"/>
    <n v="1641"/>
    <n v="28044"/>
    <n v="118714"/>
    <s v="Apple Event September 2025"/>
    <n v="14.677291642097815"/>
  </r>
  <r>
    <s v="A243"/>
    <x v="1"/>
    <s v="2025-03-06"/>
    <x v="1"/>
    <s v="iPhone16Launch "/>
    <s v="AppleEvent"/>
    <n v="22119"/>
    <n v="899"/>
    <n v="642"/>
    <n v="410"/>
    <n v="49490"/>
    <n v="229420"/>
    <s v="iPhone 16 Launch"/>
    <n v="10.312963124400662"/>
  </r>
  <r>
    <s v="A244"/>
    <x v="2"/>
    <d v="2025-09-13T00:00:00"/>
    <x v="2"/>
    <s v="iPhonePhotography "/>
    <s v="ShotOniPhone"/>
    <n v="15046"/>
    <n v="281"/>
    <n v="515"/>
    <n v="550"/>
    <n v="22583"/>
    <n v="64596"/>
    <s v="Apple Event September 2025"/>
    <n v="24.524738373893122"/>
  </r>
  <r>
    <s v="A245"/>
    <x v="0"/>
    <s v="2025-01-12"/>
    <x v="0"/>
    <s v="AppleEvent "/>
    <s v="iPadPro"/>
    <n v="4590"/>
    <n v="713"/>
    <n v="479"/>
    <n v="2730"/>
    <n v="41050"/>
    <n v="204246"/>
    <s v="Sustainability Awareness Drive"/>
    <n v="2.8308999931455205"/>
  </r>
  <r>
    <s v="A246"/>
    <x v="3"/>
    <s v="2024-10-11"/>
    <x v="3"/>
    <s v="iPhone16Launch "/>
    <s v="AppleEvent"/>
    <n v="19447"/>
    <n v="1014"/>
    <n v="256"/>
    <n v="2354"/>
    <n v="5472"/>
    <n v="104106"/>
    <s v="Apple Watch Ultra 2 Launch"/>
    <n v="19.899909707413599"/>
  </r>
  <r>
    <s v="A247"/>
    <x v="2"/>
    <s v="2024-08-27"/>
    <x v="0"/>
    <s v="MacBookProM3"/>
    <m/>
    <n v="6324"/>
    <n v="908"/>
    <n v="375"/>
    <n v="758"/>
    <n v="34850"/>
    <n v="241039"/>
    <s v="Apple Watch Ultra 2 Launch"/>
    <n v="3.1559208260903837"/>
  </r>
  <r>
    <s v="A248"/>
    <x v="2"/>
    <d v="2025-09-14T00:00:00"/>
    <x v="3"/>
    <s v="AppleEvent "/>
    <s v="iPhone16"/>
    <n v="12787"/>
    <n v="945"/>
    <n v="974"/>
    <n v="1407"/>
    <n v="4037"/>
    <n v="99182"/>
    <s v="Apple Event September 2025"/>
    <n v="14.827287209372669"/>
  </r>
  <r>
    <s v="A249"/>
    <x v="2"/>
    <s v="2024-07-18"/>
    <x v="2"/>
    <s v="MacBookProM3"/>
    <m/>
    <n v="11111"/>
    <n v="1222"/>
    <n v="367"/>
    <n v="507"/>
    <n v="14129"/>
    <n v="127163"/>
    <s v="MacBook Air M3 Campaign"/>
    <n v="9.9871818060284827"/>
  </r>
  <r>
    <s v="A250"/>
    <x v="0"/>
    <s v="2024-06-22"/>
    <x v="1"/>
    <s v="AppleWatch "/>
    <s v="Health"/>
    <n v="7342"/>
    <n v="906"/>
    <n v="902"/>
    <n v="1199"/>
    <n v="68488"/>
    <n v="79310"/>
    <s v="Apple Watch Ultra 2 Launch"/>
    <n v="11.537006682637751"/>
  </r>
  <r>
    <s v="A251"/>
    <x v="3"/>
    <d v="2025-09-15T00:00:00"/>
    <x v="0"/>
    <s v="AppleMusic "/>
    <s v="AppleLifestyle"/>
    <n v="18389"/>
    <n v="670"/>
    <n v="655"/>
    <n v="321"/>
    <n v="21869"/>
    <n v="96088"/>
    <s v="Apple Event September 2025"/>
    <n v="20.516609774373489"/>
  </r>
  <r>
    <s v="A252"/>
    <x v="2"/>
    <s v="2025-04-28"/>
    <x v="3"/>
    <s v="AppleEvent "/>
    <s v="iPhone16"/>
    <n v="10659"/>
    <n v="1342"/>
    <n v="408"/>
    <n v="709"/>
    <n v="16309"/>
    <n v="168803"/>
    <s v="Sustainability Awareness Drive"/>
    <n v="7.3511726687321906"/>
  </r>
  <r>
    <s v="A253"/>
    <x v="1"/>
    <d v="2025-09-16T00:00:00"/>
    <x v="0"/>
    <s v="MacBookProM3"/>
    <m/>
    <n v="16043"/>
    <n v="595"/>
    <n v="923"/>
    <n v="1194"/>
    <n v="52613"/>
    <n v="179978"/>
    <s v="Apple Event September 2025"/>
    <n v="9.7573036704486107"/>
  </r>
  <r>
    <s v="A254"/>
    <x v="2"/>
    <s v="2025-01-14"/>
    <x v="3"/>
    <s v="AppleEvent "/>
    <s v="iPhone16"/>
    <n v="24350"/>
    <n v="460"/>
    <n v="666"/>
    <n v="814"/>
    <n v="21120"/>
    <n v="76914"/>
    <s v="Apple Watch Ultra 2 Launch"/>
    <n v="33.12270847960059"/>
  </r>
  <r>
    <s v="A255"/>
    <x v="2"/>
    <s v="2025-04-03"/>
    <x v="0"/>
    <s v="Sustainability "/>
    <s v="AppleEarth"/>
    <n v="10837"/>
    <n v="1004"/>
    <n v="922"/>
    <n v="1108"/>
    <n v="36807"/>
    <n v="150350"/>
    <s v="Sustainability Awareness Drive"/>
    <n v="8.4888593282341205"/>
  </r>
  <r>
    <s v="A256"/>
    <x v="0"/>
    <d v="2025-09-17T00:00:00"/>
    <x v="3"/>
    <s v="AppleMusic "/>
    <s v="AppleLifestyle"/>
    <n v="2117"/>
    <n v="1133"/>
    <n v="203"/>
    <n v="1173"/>
    <n v="40125"/>
    <n v="85379"/>
    <s v="Apple Event September 2025"/>
    <n v="4.0443200318579509"/>
  </r>
  <r>
    <s v="A257"/>
    <x v="0"/>
    <s v="2025-04-06"/>
    <x v="3"/>
    <s v="AppleEvent "/>
    <s v="iPhone16"/>
    <n v="15917"/>
    <n v="1479"/>
    <n v="196"/>
    <n v="313"/>
    <n v="48524"/>
    <n v="249684"/>
    <s v="iPhone 16 Launch"/>
    <n v="7.0457057720959293"/>
  </r>
  <r>
    <s v="A258"/>
    <x v="3"/>
    <s v="2024-08-05"/>
    <x v="2"/>
    <s v="AppleWatchUltra2 "/>
    <s v="HealthTech"/>
    <n v="20935"/>
    <n v="1104"/>
    <n v="876"/>
    <n v="1270"/>
    <n v="21454"/>
    <n v="208722"/>
    <s v="Sustainability Awareness Drive"/>
    <n v="10.978718103506099"/>
  </r>
  <r>
    <s v="A259"/>
    <x v="1"/>
    <s v="2025-02-10"/>
    <x v="3"/>
    <s v="MacBookAirM3 "/>
    <s v="AppleInnovation"/>
    <n v="16309"/>
    <n v="1449"/>
    <n v="838"/>
    <n v="2434"/>
    <n v="2940"/>
    <n v="217953"/>
    <s v="iPhone 16 Launch"/>
    <n v="8.532114721981344"/>
  </r>
  <r>
    <s v="A260"/>
    <x v="0"/>
    <s v="2025-02-12"/>
    <x v="2"/>
    <s v="MacBookAirM3 "/>
    <s v="AppleInnovation"/>
    <n v="15234"/>
    <n v="1276"/>
    <n v="670"/>
    <n v="1860"/>
    <n v="60397"/>
    <n v="86413"/>
    <s v="MacBook Air M3 Campaign"/>
    <n v="19.881267864788864"/>
  </r>
  <r>
    <s v="A261"/>
    <x v="2"/>
    <s v="2024-10-27"/>
    <x v="3"/>
    <s v="AppleWatchUltra2 "/>
    <s v="HealthTech"/>
    <n v="7560"/>
    <n v="1139"/>
    <n v="248"/>
    <n v="1624"/>
    <n v="72237"/>
    <n v="177084"/>
    <s v="Sustainability Awareness Drive"/>
    <n v="5.0524045085947913"/>
  </r>
  <r>
    <s v="A262"/>
    <x v="3"/>
    <s v="2025-01-18"/>
    <x v="1"/>
    <s v="iPhonePhotography "/>
    <s v="ShotOniPhone"/>
    <n v="22673"/>
    <n v="1053"/>
    <n v="169"/>
    <n v="1566"/>
    <n v="9417"/>
    <n v="221187"/>
    <s v="iPhone 16 Launch"/>
    <n v="10.803076130152315"/>
  </r>
  <r>
    <s v="A263"/>
    <x v="2"/>
    <s v="2024-08-20"/>
    <x v="1"/>
    <s v="ShotOniPhone"/>
    <m/>
    <n v="2846"/>
    <n v="792"/>
    <n v="902"/>
    <n v="2469"/>
    <n v="12130"/>
    <n v="47151"/>
    <s v="Apple Watch Ultra 2 Launch"/>
    <n v="9.628639901592754"/>
  </r>
  <r>
    <s v="A264"/>
    <x v="2"/>
    <s v="2025-01-30"/>
    <x v="1"/>
    <s v="iPhonePhotography "/>
    <s v="ShotOniPhone"/>
    <n v="12954"/>
    <n v="913"/>
    <n v="722"/>
    <n v="1049"/>
    <n v="475"/>
    <n v="97716"/>
    <s v="Apple Watch Ultra 2 Launch"/>
    <n v="14.930001228048631"/>
  </r>
  <r>
    <s v="A265"/>
    <x v="0"/>
    <s v="2025-02-20"/>
    <x v="3"/>
    <s v="iPhone16Launch "/>
    <s v="AppleEvent"/>
    <n v="15703"/>
    <n v="1381"/>
    <n v="639"/>
    <n v="984"/>
    <n v="10967"/>
    <n v="133747"/>
    <s v="MacBook Air M3 Campaign"/>
    <n v="13.251138343289941"/>
  </r>
  <r>
    <s v="A266"/>
    <x v="3"/>
    <s v="2024-11-25"/>
    <x v="2"/>
    <s v="iPhone16Launch "/>
    <s v="AppleEvent"/>
    <n v="17385"/>
    <n v="831"/>
    <n v="568"/>
    <n v="2227"/>
    <n v="49351"/>
    <n v="207450"/>
    <s v="Sustainability Awareness Drive"/>
    <n v="9.0547119787900705"/>
  </r>
  <r>
    <s v="A267"/>
    <x v="1"/>
    <s v="2024-10-04"/>
    <x v="2"/>
    <s v="AppleEvent "/>
    <s v="iPhone16"/>
    <n v="15746"/>
    <n v="258"/>
    <n v="839"/>
    <n v="2656"/>
    <n v="66614"/>
    <n v="213724"/>
    <s v="Sustainability Awareness Drive"/>
    <n v="7.8807246729426739"/>
  </r>
  <r>
    <s v="A268"/>
    <x v="1"/>
    <s v="2025-04-13"/>
    <x v="3"/>
    <s v="MacBookProM3"/>
    <m/>
    <n v="24700"/>
    <n v="327"/>
    <n v="999"/>
    <n v="994"/>
    <n v="59400"/>
    <n v="243502"/>
    <s v="Sustainability Awareness Drive"/>
    <n v="10.688207899729777"/>
  </r>
  <r>
    <s v="A269"/>
    <x v="0"/>
    <s v="2024-11-05"/>
    <x v="1"/>
    <s v="MacBookProM3"/>
    <m/>
    <n v="8469"/>
    <n v="935"/>
    <n v="211"/>
    <n v="2635"/>
    <n v="21890"/>
    <n v="184539"/>
    <s v="MacBook Air M3 Campaign"/>
    <n v="5.2102807536618281"/>
  </r>
  <r>
    <s v="A270"/>
    <x v="0"/>
    <s v="2025-01-15"/>
    <x v="1"/>
    <s v="MacBookAirM3 "/>
    <s v="AppleInnovation"/>
    <n v="11333"/>
    <n v="920"/>
    <n v="294"/>
    <n v="606"/>
    <n v="59490"/>
    <n v="202082"/>
    <s v="Sustainability Awareness Drive"/>
    <n v="6.2088657079799292"/>
  </r>
  <r>
    <s v="A271"/>
    <x v="3"/>
    <s v="2024-10-17"/>
    <x v="2"/>
    <s v="AppleDesign "/>
    <s v="Innovation"/>
    <n v="18608"/>
    <n v="1338"/>
    <n v="365"/>
    <n v="2289"/>
    <n v="20785"/>
    <n v="161999"/>
    <s v="Apple Watch Ultra 2 Launch"/>
    <n v="12.537731714393299"/>
  </r>
  <r>
    <s v="A272"/>
    <x v="1"/>
    <s v="2025-03-27"/>
    <x v="1"/>
    <s v="iPhonePhotography "/>
    <s v="ShotOniPhone"/>
    <n v="14819"/>
    <n v="1432"/>
    <n v="152"/>
    <n v="961"/>
    <n v="39154"/>
    <n v="154793"/>
    <s v="iPhone 16 Launch"/>
    <n v="10.596732410380314"/>
  </r>
  <r>
    <s v="A273"/>
    <x v="1"/>
    <s v="2024-10-12"/>
    <x v="0"/>
    <s v="Sustainability "/>
    <s v="AppleEarth"/>
    <n v="6208"/>
    <n v="725"/>
    <n v="309"/>
    <n v="848"/>
    <n v="39319"/>
    <n v="225763"/>
    <s v="Apple Watch Ultra 2 Launch"/>
    <n v="3.207788698768177"/>
  </r>
  <r>
    <s v="A274"/>
    <x v="1"/>
    <s v="2025-01-01"/>
    <x v="2"/>
    <s v="AppleMusic "/>
    <s v="AppleLifestyle"/>
    <n v="8283"/>
    <n v="720"/>
    <n v="888"/>
    <n v="611"/>
    <n v="52791"/>
    <n v="235229"/>
    <s v="Apple Watch Ultra 2 Launch"/>
    <n v="4.2048386891072109"/>
  </r>
  <r>
    <s v="A275"/>
    <x v="2"/>
    <s v="2024-08-05"/>
    <x v="1"/>
    <s v="AppleWatch "/>
    <s v="Health"/>
    <n v="4048"/>
    <n v="751"/>
    <n v="930"/>
    <n v="1382"/>
    <n v="16844"/>
    <n v="148177"/>
    <s v="iPhone 16 Launch"/>
    <n v="3.8663220337839208"/>
  </r>
  <r>
    <s v="A276"/>
    <x v="1"/>
    <s v="2024-06-07"/>
    <x v="2"/>
    <s v="AppleEvent "/>
    <s v="iPadPro"/>
    <n v="8233"/>
    <n v="436"/>
    <n v="269"/>
    <n v="2037"/>
    <n v="8875"/>
    <n v="52289"/>
    <s v="Apple Watch Ultra 2 Launch"/>
    <n v="17.093461339861157"/>
  </r>
  <r>
    <s v="A277"/>
    <x v="2"/>
    <s v="2025-04-06"/>
    <x v="0"/>
    <s v="MacBookProM3"/>
    <m/>
    <n v="14941"/>
    <n v="1424"/>
    <n v="238"/>
    <n v="1054"/>
    <n v="20516"/>
    <n v="216048"/>
    <s v="MacBook Air M3 Campaign"/>
    <n v="7.6848663260016297"/>
  </r>
  <r>
    <s v="A278"/>
    <x v="3"/>
    <s v="2024-11-26"/>
    <x v="2"/>
    <s v="AppleMusic "/>
    <s v="AppleLifestyle"/>
    <n v="14607"/>
    <n v="1458"/>
    <n v="478"/>
    <n v="334"/>
    <n v="49257"/>
    <n v="214668"/>
    <s v="iPhone 16 Launch"/>
    <n v="7.7063185942944452"/>
  </r>
  <r>
    <s v="A279"/>
    <x v="2"/>
    <s v="2024-09-02"/>
    <x v="2"/>
    <s v="AppleEvent "/>
    <s v="iPadPro"/>
    <n v="11765"/>
    <n v="693"/>
    <n v="729"/>
    <n v="744"/>
    <n v="97772"/>
    <n v="194243"/>
    <s v="Apple Watch Ultra 2 Launch"/>
    <n v="6.7889190344053576"/>
  </r>
  <r>
    <s v="A280"/>
    <x v="3"/>
    <d v="2025-09-18T00:00:00"/>
    <x v="2"/>
    <s v="AppleMusic "/>
    <s v="AppleLifestyle"/>
    <n v="3828"/>
    <n v="203"/>
    <n v="506"/>
    <n v="2440"/>
    <n v="63650"/>
    <n v="126365"/>
    <s v="Apple Event September 2025"/>
    <n v="3.5903929094290348"/>
  </r>
  <r>
    <s v="A281"/>
    <x v="1"/>
    <s v="2025-03-22"/>
    <x v="2"/>
    <s v="AppleEvent "/>
    <s v="iPhone16"/>
    <n v="3917"/>
    <n v="865"/>
    <n v="759"/>
    <n v="2282"/>
    <n v="56125"/>
    <n v="154014"/>
    <s v="Apple Watch Ultra 2 Launch"/>
    <n v="3.5977248821535706"/>
  </r>
  <r>
    <s v="A282"/>
    <x v="1"/>
    <s v="2024-10-03"/>
    <x v="0"/>
    <s v="AppleEvent "/>
    <s v="iPadPro"/>
    <n v="22618"/>
    <n v="641"/>
    <n v="416"/>
    <n v="1530"/>
    <n v="18395"/>
    <n v="215211"/>
    <s v="MacBook Air M3 Campaign"/>
    <n v="11.000831741871931"/>
  </r>
  <r>
    <s v="A283"/>
    <x v="3"/>
    <s v="2025-05-09"/>
    <x v="3"/>
    <s v="AppleWatch "/>
    <s v="Health"/>
    <n v="8988"/>
    <n v="228"/>
    <n v="766"/>
    <n v="652"/>
    <n v="63789"/>
    <n v="219785"/>
    <s v="Sustainability Awareness Drive"/>
    <n v="4.5417112177810131"/>
  </r>
  <r>
    <s v="A284"/>
    <x v="0"/>
    <s v="2024-09-17"/>
    <x v="2"/>
    <s v="AppleMusic "/>
    <s v="AppleLifestyle"/>
    <n v="20410"/>
    <n v="1332"/>
    <n v="472"/>
    <n v="1202"/>
    <n v="9418"/>
    <n v="200806"/>
    <s v="Apple Watch Ultra 2 Launch"/>
    <n v="11.062418453631864"/>
  </r>
  <r>
    <s v="A285"/>
    <x v="3"/>
    <s v="2024-07-18"/>
    <x v="2"/>
    <s v="AppleWatchUltra2 "/>
    <s v="HealthTech"/>
    <n v="16594"/>
    <n v="809"/>
    <n v="784"/>
    <n v="1655"/>
    <n v="35505"/>
    <n v="112588"/>
    <s v="Sustainability Awareness Drive"/>
    <n v="16.153586527871532"/>
  </r>
  <r>
    <s v="A286"/>
    <x v="0"/>
    <d v="2025-09-19T00:00:00"/>
    <x v="1"/>
    <s v="AppleWatch "/>
    <s v="Health"/>
    <n v="22128"/>
    <n v="1004"/>
    <n v="690"/>
    <n v="2048"/>
    <n v="19443"/>
    <n v="103646"/>
    <s v="Apple Event September 2025"/>
    <n v="22.984003241803833"/>
  </r>
  <r>
    <s v="A287"/>
    <x v="2"/>
    <s v="2024-08-15"/>
    <x v="2"/>
    <s v="AppleEvent "/>
    <s v="iPadPro"/>
    <n v="14977"/>
    <n v="274"/>
    <n v="798"/>
    <n v="458"/>
    <n v="6636"/>
    <n v="43654"/>
    <s v="Apple Watch Ultra 2 Launch"/>
    <n v="36.76409950978146"/>
  </r>
  <r>
    <s v="A288"/>
    <x v="2"/>
    <s v="2025-04-17"/>
    <x v="1"/>
    <s v="AppleWatch "/>
    <s v="Health"/>
    <n v="2009"/>
    <n v="1037"/>
    <n v="344"/>
    <n v="2277"/>
    <n v="85743"/>
    <n v="58743"/>
    <s v="iPhone 16 Launch"/>
    <n v="5.7709003625963939"/>
  </r>
  <r>
    <s v="A289"/>
    <x v="2"/>
    <s v="2024-11-28"/>
    <x v="3"/>
    <s v="AppleMusic "/>
    <s v="AppleLifestyle"/>
    <n v="18644"/>
    <n v="1369"/>
    <n v="887"/>
    <n v="1256"/>
    <n v="43415"/>
    <n v="88368"/>
    <s v="Sustainability Awareness Drive"/>
    <n v="23.651095419156256"/>
  </r>
  <r>
    <s v="A290"/>
    <x v="1"/>
    <d v="2025-09-20T00:00:00"/>
    <x v="0"/>
    <s v="ShotOniPhone"/>
    <m/>
    <n v="24422"/>
    <n v="327"/>
    <n v="481"/>
    <n v="2371"/>
    <n v="35340"/>
    <n v="245244"/>
    <s v="Apple Event September 2025"/>
    <n v="10.287713460879777"/>
  </r>
  <r>
    <s v="A291"/>
    <x v="2"/>
    <s v="2024-11-06"/>
    <x v="0"/>
    <s v="AppleMusic "/>
    <s v="AppleLifestyle"/>
    <n v="11865"/>
    <n v="241"/>
    <n v="319"/>
    <n v="703"/>
    <n v="69596"/>
    <n v="177513"/>
    <s v="iPhone 16 Launch"/>
    <n v="6.9994873614890176"/>
  </r>
  <r>
    <s v="A292"/>
    <x v="0"/>
    <s v="2024-11-17"/>
    <x v="3"/>
    <s v="AppleMusic "/>
    <s v="AppleLifestyle"/>
    <n v="4219"/>
    <n v="240"/>
    <n v="670"/>
    <n v="815"/>
    <n v="11978"/>
    <n v="159735"/>
    <s v="iPhone 16 Launch"/>
    <n v="3.2109431245500355"/>
  </r>
  <r>
    <s v="A293"/>
    <x v="2"/>
    <s v="2025-05-14"/>
    <x v="0"/>
    <s v="AppleEvent "/>
    <s v="iPhone16"/>
    <n v="9041"/>
    <n v="1133"/>
    <n v="612"/>
    <n v="1687"/>
    <n v="28102"/>
    <n v="195683"/>
    <s v="iPhone 16 Launch"/>
    <n v="5.51197600200324"/>
  </r>
  <r>
    <s v="A294"/>
    <x v="3"/>
    <s v="2024-06-19"/>
    <x v="3"/>
    <s v="iPhonePhotography "/>
    <s v="ShotOniPhone"/>
    <n v="20444"/>
    <n v="233"/>
    <n v="189"/>
    <n v="2879"/>
    <n v="28185"/>
    <n v="159891"/>
    <s v="iPhone 16 Launch"/>
    <n v="13.050140408153055"/>
  </r>
  <r>
    <s v="A295"/>
    <x v="3"/>
    <s v="2025-05-06"/>
    <x v="3"/>
    <s v="AppleWatchUltra2 "/>
    <s v="HealthTech"/>
    <n v="7287"/>
    <n v="1240"/>
    <n v="686"/>
    <n v="1255"/>
    <n v="15403"/>
    <n v="147971"/>
    <s v="Apple Watch Ultra 2 Launch"/>
    <n v="6.2262200025680707"/>
  </r>
  <r>
    <s v="A296"/>
    <x v="1"/>
    <s v="2025-02-11"/>
    <x v="3"/>
    <s v="Sustainability "/>
    <s v="AppleEarth"/>
    <n v="3619"/>
    <n v="1376"/>
    <n v="410"/>
    <n v="2499"/>
    <n v="58146"/>
    <n v="52149"/>
    <s v="Apple Watch Ultra 2 Launch"/>
    <n v="10.364532397553166"/>
  </r>
  <r>
    <s v="A297"/>
    <x v="3"/>
    <s v="2024-12-24"/>
    <x v="0"/>
    <s v="MacBookProM3"/>
    <m/>
    <n v="10512"/>
    <n v="1197"/>
    <n v="544"/>
    <n v="2012"/>
    <n v="10245"/>
    <n v="140102"/>
    <s v="Apple Watch Ultra 2 Launch"/>
    <n v="8.7457709383163689"/>
  </r>
  <r>
    <s v="A298"/>
    <x v="0"/>
    <d v="2025-09-24T00:00:00"/>
    <x v="1"/>
    <s v="iPhone16Launch "/>
    <s v="AppleEvent"/>
    <n v="3342"/>
    <n v="787"/>
    <n v="375"/>
    <n v="907"/>
    <n v="85823"/>
    <n v="99189"/>
    <s v="Apple Event September 2025"/>
    <n v="4.5408260996683101"/>
  </r>
  <r>
    <s v="A299"/>
    <x v="2"/>
    <d v="2025-09-25T00:00:00"/>
    <x v="3"/>
    <s v="iPhonePhotography "/>
    <s v="ShotOniPhone"/>
    <n v="12568"/>
    <n v="541"/>
    <n v="273"/>
    <n v="2767"/>
    <n v="22331"/>
    <n v="192747"/>
    <s v="Apple Event September 2025"/>
    <n v="6.9427799135654515"/>
  </r>
  <r>
    <s v="A300"/>
    <x v="1"/>
    <d v="2025-09-26T00:00:00"/>
    <x v="2"/>
    <s v="iPhone16Launch "/>
    <s v="AppleEvent"/>
    <n v="21216"/>
    <n v="226"/>
    <n v="187"/>
    <n v="1573"/>
    <n v="62688"/>
    <n v="111031"/>
    <s v="Apple Event September 2025"/>
    <n v="19.48014518467815"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  <r>
    <m/>
    <x v="4"/>
    <m/>
    <x v="4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x v="0"/>
    <x v="0"/>
    <x v="0"/>
    <n v="24516"/>
    <n v="976"/>
    <n v="974"/>
    <n v="2675"/>
    <n v="23275"/>
    <n v="202932"/>
    <x v="0"/>
    <n v="13.041807107799658"/>
  </r>
  <r>
    <s v="A2"/>
    <x v="1"/>
    <d v="2025-09-03T00:00:00"/>
    <x v="0"/>
    <x v="1"/>
    <x v="1"/>
    <n v="4779"/>
    <n v="1110"/>
    <n v="436"/>
    <n v="1574"/>
    <n v="77167"/>
    <n v="71585"/>
    <x v="1"/>
    <n v="8.8356499266606132"/>
  </r>
  <r>
    <s v="A3"/>
    <x v="2"/>
    <s v="2025-05-12"/>
    <x v="1"/>
    <x v="2"/>
    <x v="2"/>
    <n v="19308"/>
    <n v="1318"/>
    <n v="795"/>
    <n v="1499"/>
    <n v="52307"/>
    <n v="193087"/>
    <x v="2"/>
    <n v="11.093962825047775"/>
  </r>
  <r>
    <s v="A4"/>
    <x v="0"/>
    <s v="2024-08-12"/>
    <x v="2"/>
    <x v="3"/>
    <x v="3"/>
    <n v="3581"/>
    <n v="517"/>
    <n v="880"/>
    <n v="1925"/>
    <n v="18636"/>
    <n v="248611"/>
    <x v="3"/>
    <n v="2.0023249172401862"/>
  </r>
  <r>
    <s v="A5"/>
    <x v="0"/>
    <d v="2025-09-04T00:00:00"/>
    <x v="2"/>
    <x v="0"/>
    <x v="0"/>
    <n v="21708"/>
    <n v="435"/>
    <n v="317"/>
    <n v="1213"/>
    <n v="70701"/>
    <n v="83585"/>
    <x v="1"/>
    <n v="26.870850032900641"/>
  </r>
  <r>
    <s v="A6"/>
    <x v="1"/>
    <d v="2025-09-05T00:00:00"/>
    <x v="0"/>
    <x v="4"/>
    <x v="4"/>
    <n v="14677"/>
    <n v="533"/>
    <n v="759"/>
    <n v="753"/>
    <n v="23275"/>
    <n v="66958"/>
    <x v="1"/>
    <n v="23.849278652289495"/>
  </r>
  <r>
    <s v="A7"/>
    <x v="2"/>
    <s v="2024-06-24"/>
    <x v="3"/>
    <x v="5"/>
    <x v="5"/>
    <n v="7713"/>
    <n v="575"/>
    <n v="417"/>
    <n v="336"/>
    <n v="61660"/>
    <n v="66017"/>
    <x v="3"/>
    <n v="13.185997546086615"/>
  </r>
  <r>
    <s v="A8"/>
    <x v="2"/>
    <s v="2024-07-13"/>
    <x v="2"/>
    <x v="6"/>
    <x v="6"/>
    <n v="18639"/>
    <n v="1360"/>
    <n v="898"/>
    <n v="2011"/>
    <n v="42841"/>
    <n v="247779"/>
    <x v="3"/>
    <n v="8.4337252148083568"/>
  </r>
  <r>
    <s v="A9"/>
    <x v="0"/>
    <s v="2024-08-30"/>
    <x v="3"/>
    <x v="1"/>
    <x v="1"/>
    <n v="6804"/>
    <n v="787"/>
    <n v="970"/>
    <n v="1095"/>
    <n v="56343"/>
    <n v="164677"/>
    <x v="0"/>
    <n v="5.1986616224487934"/>
  </r>
  <r>
    <s v="A10"/>
    <x v="3"/>
    <s v="2025-03-11"/>
    <x v="2"/>
    <x v="7"/>
    <x v="7"/>
    <n v="20222"/>
    <n v="712"/>
    <n v="604"/>
    <n v="1272"/>
    <n v="71598"/>
    <n v="216422"/>
    <x v="2"/>
    <n v="9.9518533235992646"/>
  </r>
  <r>
    <s v="A11"/>
    <x v="0"/>
    <s v="2025-02-02"/>
    <x v="3"/>
    <x v="3"/>
    <x v="3"/>
    <n v="12136"/>
    <n v="1117"/>
    <n v="834"/>
    <n v="892"/>
    <n v="24675"/>
    <n v="183273"/>
    <x v="2"/>
    <n v="7.6863476889667322"/>
  </r>
  <r>
    <s v="A12"/>
    <x v="0"/>
    <s v="2024-07-21"/>
    <x v="1"/>
    <x v="1"/>
    <x v="1"/>
    <n v="2009"/>
    <n v="1072"/>
    <n v="550"/>
    <n v="1437"/>
    <n v="22982"/>
    <n v="69426"/>
    <x v="3"/>
    <n v="5.2300290957278257"/>
  </r>
  <r>
    <s v="A13"/>
    <x v="0"/>
    <s v="2024-11-18"/>
    <x v="3"/>
    <x v="5"/>
    <x v="5"/>
    <n v="21255"/>
    <n v="1452"/>
    <n v="625"/>
    <n v="1624"/>
    <n v="21282"/>
    <n v="57778"/>
    <x v="4"/>
    <n v="40.382152376337018"/>
  </r>
  <r>
    <s v="A14"/>
    <x v="0"/>
    <d v="2025-09-06T00:00:00"/>
    <x v="1"/>
    <x v="6"/>
    <x v="6"/>
    <n v="7124"/>
    <n v="469"/>
    <n v="851"/>
    <n v="2571"/>
    <n v="33802"/>
    <n v="216313"/>
    <x v="1"/>
    <n v="3.903602649863855"/>
  </r>
  <r>
    <s v="A15"/>
    <x v="1"/>
    <d v="2025-09-07T00:00:00"/>
    <x v="1"/>
    <x v="2"/>
    <x v="2"/>
    <n v="3015"/>
    <n v="997"/>
    <n v="783"/>
    <n v="617"/>
    <n v="77167"/>
    <n v="82229"/>
    <x v="1"/>
    <n v="5.8312760704860818"/>
  </r>
  <r>
    <s v="A16"/>
    <x v="2"/>
    <s v="2024-08-26"/>
    <x v="3"/>
    <x v="6"/>
    <x v="6"/>
    <n v="4193"/>
    <n v="924"/>
    <n v="707"/>
    <n v="2696"/>
    <n v="55075"/>
    <n v="126652"/>
    <x v="3"/>
    <n v="4.5984271863057824"/>
  </r>
  <r>
    <s v="A17"/>
    <x v="1"/>
    <s v="2025-05-05"/>
    <x v="1"/>
    <x v="3"/>
    <x v="8"/>
    <n v="10415"/>
    <n v="1388"/>
    <n v="725"/>
    <n v="2462"/>
    <n v="53082"/>
    <n v="168267"/>
    <x v="4"/>
    <n v="7.4453101321114659"/>
  </r>
  <r>
    <s v="A18"/>
    <x v="1"/>
    <s v="2024-08-19"/>
    <x v="0"/>
    <x v="6"/>
    <x v="6"/>
    <n v="15550"/>
    <n v="204"/>
    <n v="279"/>
    <n v="1646"/>
    <n v="35819"/>
    <n v="219436"/>
    <x v="0"/>
    <n v="7.3064583751070931"/>
  </r>
  <r>
    <s v="A19"/>
    <x v="1"/>
    <s v="2024-06-23"/>
    <x v="1"/>
    <x v="3"/>
    <x v="8"/>
    <n v="16512"/>
    <n v="1050"/>
    <n v="971"/>
    <n v="1891"/>
    <n v="15865"/>
    <n v="166503"/>
    <x v="3"/>
    <n v="11.13073037723044"/>
  </r>
  <r>
    <s v="A20"/>
    <x v="0"/>
    <s v="2024-09-09"/>
    <x v="2"/>
    <x v="2"/>
    <x v="2"/>
    <n v="6158"/>
    <n v="277"/>
    <n v="512"/>
    <n v="2189"/>
    <n v="76881"/>
    <n v="124878"/>
    <x v="3"/>
    <n v="5.5630295168084052"/>
  </r>
  <r>
    <s v="A21"/>
    <x v="3"/>
    <d v="2025-09-08T00:00:00"/>
    <x v="3"/>
    <x v="8"/>
    <x v="9"/>
    <n v="22309"/>
    <n v="773"/>
    <n v="854"/>
    <n v="2387"/>
    <n v="72396"/>
    <n v="97056"/>
    <x v="1"/>
    <n v="24.662050774810417"/>
  </r>
  <r>
    <s v="A22"/>
    <x v="2"/>
    <s v="2025-02-27"/>
    <x v="0"/>
    <x v="5"/>
    <x v="5"/>
    <n v="8970"/>
    <n v="331"/>
    <n v="968"/>
    <n v="2296"/>
    <n v="24613"/>
    <n v="198562"/>
    <x v="3"/>
    <n v="5.1716844109144757"/>
  </r>
  <r>
    <s v="A23"/>
    <x v="3"/>
    <s v="2024-11-06"/>
    <x v="3"/>
    <x v="3"/>
    <x v="8"/>
    <n v="8938"/>
    <n v="800"/>
    <n v="842"/>
    <n v="2072"/>
    <n v="31736"/>
    <n v="59975"/>
    <x v="3"/>
    <n v="17.64068361817424"/>
  </r>
  <r>
    <s v="A24"/>
    <x v="1"/>
    <s v="2025-01-23"/>
    <x v="2"/>
    <x v="7"/>
    <x v="7"/>
    <n v="23168"/>
    <n v="1265"/>
    <n v="441"/>
    <n v="1612"/>
    <n v="66615"/>
    <n v="197795"/>
    <x v="3"/>
    <n v="12.57564650269218"/>
  </r>
  <r>
    <s v="A25"/>
    <x v="1"/>
    <d v="2025-09-09T00:00:00"/>
    <x v="2"/>
    <x v="6"/>
    <x v="6"/>
    <n v="15772"/>
    <n v="288"/>
    <n v="520"/>
    <n v="1585"/>
    <n v="59182"/>
    <n v="194351"/>
    <x v="1"/>
    <n v="8.530956876990599"/>
  </r>
  <r>
    <s v="A26"/>
    <x v="3"/>
    <s v="2025-04-05"/>
    <x v="2"/>
    <x v="6"/>
    <x v="6"/>
    <n v="22384"/>
    <n v="601"/>
    <n v="943"/>
    <n v="515"/>
    <n v="41309"/>
    <n v="249373"/>
    <x v="0"/>
    <n v="9.595264924430472"/>
  </r>
  <r>
    <s v="A27"/>
    <x v="3"/>
    <s v="2024-09-17"/>
    <x v="1"/>
    <x v="7"/>
    <x v="7"/>
    <n v="20017"/>
    <n v="495"/>
    <n v="178"/>
    <n v="2683"/>
    <n v="32244"/>
    <n v="182633"/>
    <x v="0"/>
    <n v="11.32873029518214"/>
  </r>
  <r>
    <s v="A28"/>
    <x v="3"/>
    <s v="2025-03-04"/>
    <x v="1"/>
    <x v="4"/>
    <x v="4"/>
    <n v="12344"/>
    <n v="815"/>
    <n v="298"/>
    <n v="2439"/>
    <n v="6259"/>
    <n v="237133"/>
    <x v="3"/>
    <n v="5.6748744375519227"/>
  </r>
  <r>
    <s v="A29"/>
    <x v="1"/>
    <d v="2025-09-10T00:00:00"/>
    <x v="3"/>
    <x v="9"/>
    <x v="4"/>
    <n v="9266"/>
    <n v="999"/>
    <n v="928"/>
    <n v="2700"/>
    <n v="12264"/>
    <n v="128397"/>
    <x v="1"/>
    <n v="8.7174933993784904"/>
  </r>
  <r>
    <s v="A30"/>
    <x v="1"/>
    <s v="2025-02-25"/>
    <x v="3"/>
    <x v="8"/>
    <x v="9"/>
    <n v="10702"/>
    <n v="621"/>
    <n v="445"/>
    <n v="2918"/>
    <n v="54808"/>
    <n v="220225"/>
    <x v="0"/>
    <n v="5.3436258372119427"/>
  </r>
  <r>
    <s v="A31"/>
    <x v="2"/>
    <s v="2024-12-16"/>
    <x v="0"/>
    <x v="3"/>
    <x v="3"/>
    <n v="2384"/>
    <n v="1246"/>
    <n v="160"/>
    <n v="2004"/>
    <n v="2701"/>
    <n v="73142"/>
    <x v="0"/>
    <n v="5.1817013480626724"/>
  </r>
  <r>
    <s v="A32"/>
    <x v="2"/>
    <s v="2024-07-31"/>
    <x v="0"/>
    <x v="3"/>
    <x v="8"/>
    <n v="2404"/>
    <n v="774"/>
    <n v="661"/>
    <n v="662"/>
    <n v="12676"/>
    <n v="66916"/>
    <x v="0"/>
    <n v="5.7370434574690652"/>
  </r>
  <r>
    <s v="A33"/>
    <x v="1"/>
    <d v="2025-09-11T00:00:00"/>
    <x v="3"/>
    <x v="7"/>
    <x v="7"/>
    <n v="10175"/>
    <n v="342"/>
    <n v="825"/>
    <n v="2904"/>
    <n v="15954"/>
    <n v="104324"/>
    <x v="1"/>
    <n v="10.871899083624093"/>
  </r>
  <r>
    <s v="A34"/>
    <x v="3"/>
    <d v="2025-09-12T00:00:00"/>
    <x v="1"/>
    <x v="2"/>
    <x v="2"/>
    <n v="17158"/>
    <n v="1192"/>
    <n v="262"/>
    <n v="2016"/>
    <n v="28771"/>
    <n v="216037"/>
    <x v="1"/>
    <n v="8.6151909163708069"/>
  </r>
  <r>
    <s v="A35"/>
    <x v="3"/>
    <s v="2024-11-30"/>
    <x v="2"/>
    <x v="3"/>
    <x v="8"/>
    <n v="14763"/>
    <n v="864"/>
    <n v="336"/>
    <n v="1493"/>
    <n v="33310"/>
    <n v="165932"/>
    <x v="3"/>
    <n v="9.6202058674637794"/>
  </r>
  <r>
    <s v="A36"/>
    <x v="2"/>
    <s v="2025-04-19"/>
    <x v="3"/>
    <x v="9"/>
    <x v="4"/>
    <n v="20384"/>
    <n v="344"/>
    <n v="956"/>
    <n v="655"/>
    <n v="67621"/>
    <n v="175720"/>
    <x v="2"/>
    <n v="12.340086501251992"/>
  </r>
  <r>
    <s v="A37"/>
    <x v="1"/>
    <s v="2025-01-06"/>
    <x v="0"/>
    <x v="2"/>
    <x v="2"/>
    <n v="11860"/>
    <n v="1448"/>
    <n v="893"/>
    <n v="490"/>
    <n v="23518"/>
    <n v="206205"/>
    <x v="0"/>
    <n v="6.8868359157149435"/>
  </r>
  <r>
    <s v="A38"/>
    <x v="2"/>
    <s v="2025-02-17"/>
    <x v="1"/>
    <x v="1"/>
    <x v="1"/>
    <n v="7989"/>
    <n v="1206"/>
    <n v="376"/>
    <n v="2769"/>
    <n v="27550"/>
    <n v="221749"/>
    <x v="2"/>
    <n v="4.3161412227338118"/>
  </r>
  <r>
    <s v="A39"/>
    <x v="2"/>
    <d v="2025-09-13T00:00:00"/>
    <x v="3"/>
    <x v="5"/>
    <x v="5"/>
    <n v="17106"/>
    <n v="702"/>
    <n v="459"/>
    <n v="999"/>
    <n v="59627"/>
    <n v="136059"/>
    <x v="1"/>
    <n v="13.425793222058077"/>
  </r>
  <r>
    <s v="A40"/>
    <x v="0"/>
    <d v="2025-09-14T00:00:00"/>
    <x v="3"/>
    <x v="6"/>
    <x v="6"/>
    <n v="19844"/>
    <n v="1020"/>
    <n v="247"/>
    <n v="2354"/>
    <n v="37792"/>
    <n v="138317"/>
    <x v="1"/>
    <n v="15.262765965138053"/>
  </r>
  <r>
    <s v="A41"/>
    <x v="0"/>
    <d v="2025-09-15T00:00:00"/>
    <x v="1"/>
    <x v="1"/>
    <x v="1"/>
    <n v="5636"/>
    <n v="303"/>
    <n v="204"/>
    <n v="2480"/>
    <n v="7377"/>
    <n v="241207"/>
    <x v="1"/>
    <n v="2.5467751765081443"/>
  </r>
  <r>
    <s v="A42"/>
    <x v="0"/>
    <s v="2025-03-05"/>
    <x v="3"/>
    <x v="3"/>
    <x v="8"/>
    <n v="12916"/>
    <n v="1262"/>
    <n v="772"/>
    <n v="856"/>
    <n v="11496"/>
    <n v="75046"/>
    <x v="2"/>
    <n v="19.921115049436349"/>
  </r>
  <r>
    <s v="A43"/>
    <x v="3"/>
    <d v="2025-09-16T00:00:00"/>
    <x v="1"/>
    <x v="9"/>
    <x v="4"/>
    <n v="6809"/>
    <n v="397"/>
    <n v="813"/>
    <n v="1125"/>
    <n v="12206"/>
    <n v="218136"/>
    <x v="1"/>
    <n v="3.6761469908680824"/>
  </r>
  <r>
    <s v="A44"/>
    <x v="1"/>
    <s v="2025-03-02"/>
    <x v="2"/>
    <x v="8"/>
    <x v="9"/>
    <n v="22562"/>
    <n v="778"/>
    <n v="907"/>
    <n v="1354"/>
    <n v="34475"/>
    <n v="141459"/>
    <x v="3"/>
    <n v="17.140655596321196"/>
  </r>
  <r>
    <s v="A45"/>
    <x v="1"/>
    <d v="2025-09-17T00:00:00"/>
    <x v="1"/>
    <x v="5"/>
    <x v="5"/>
    <n v="15456"/>
    <n v="590"/>
    <n v="555"/>
    <n v="2882"/>
    <n v="49816"/>
    <n v="240422"/>
    <x v="1"/>
    <n v="6.9049421433978591"/>
  </r>
  <r>
    <s v="A46"/>
    <x v="1"/>
    <s v="2025-05-02"/>
    <x v="1"/>
    <x v="3"/>
    <x v="8"/>
    <n v="17444"/>
    <n v="1402"/>
    <n v="218"/>
    <n v="725"/>
    <n v="8710"/>
    <n v="85893"/>
    <x v="4"/>
    <n v="22.195056640238437"/>
  </r>
  <r>
    <s v="A47"/>
    <x v="1"/>
    <s v="2025-02-24"/>
    <x v="1"/>
    <x v="7"/>
    <x v="7"/>
    <n v="24984"/>
    <n v="753"/>
    <n v="461"/>
    <n v="2710"/>
    <n v="20792"/>
    <n v="141520"/>
    <x v="2"/>
    <n v="18.511871113623517"/>
  </r>
  <r>
    <s v="A48"/>
    <x v="0"/>
    <s v="2025-03-11"/>
    <x v="3"/>
    <x v="0"/>
    <x v="0"/>
    <n v="7997"/>
    <n v="1238"/>
    <n v="438"/>
    <n v="1874"/>
    <n v="36272"/>
    <n v="165818"/>
    <x v="4"/>
    <n v="5.8335042034037317"/>
  </r>
  <r>
    <s v="A49"/>
    <x v="3"/>
    <d v="2025-09-18T00:00:00"/>
    <x v="3"/>
    <x v="3"/>
    <x v="8"/>
    <n v="4048"/>
    <n v="677"/>
    <n v="911"/>
    <n v="2429"/>
    <n v="27361"/>
    <n v="101272"/>
    <x v="1"/>
    <n v="5.5652105221581483"/>
  </r>
  <r>
    <s v="A50"/>
    <x v="3"/>
    <s v="2024-07-03"/>
    <x v="1"/>
    <x v="5"/>
    <x v="5"/>
    <n v="14338"/>
    <n v="1454"/>
    <n v="697"/>
    <n v="2703"/>
    <n v="21288"/>
    <n v="107649"/>
    <x v="3"/>
    <n v="15.317374058282009"/>
  </r>
  <r>
    <s v="A51"/>
    <x v="0"/>
    <s v="2024-06-13"/>
    <x v="3"/>
    <x v="6"/>
    <x v="6"/>
    <n v="23164"/>
    <n v="1122"/>
    <n v="900"/>
    <n v="888"/>
    <n v="36938"/>
    <n v="104674"/>
    <x v="0"/>
    <n v="24.061371496264595"/>
  </r>
  <r>
    <s v="A52"/>
    <x v="3"/>
    <d v="2025-09-19T00:00:00"/>
    <x v="0"/>
    <x v="6"/>
    <x v="6"/>
    <n v="19100"/>
    <n v="619"/>
    <n v="297"/>
    <n v="2312"/>
    <n v="9730"/>
    <n v="184832"/>
    <x v="1"/>
    <n v="10.829293628808864"/>
  </r>
  <r>
    <s v="A53"/>
    <x v="0"/>
    <s v="2025-02-24"/>
    <x v="0"/>
    <x v="3"/>
    <x v="8"/>
    <n v="23949"/>
    <n v="356"/>
    <n v="616"/>
    <n v="1847"/>
    <n v="3144"/>
    <n v="192999"/>
    <x v="3"/>
    <n v="12.912502137316773"/>
  </r>
  <r>
    <s v="A54"/>
    <x v="1"/>
    <s v="2025-03-13"/>
    <x v="3"/>
    <x v="2"/>
    <x v="2"/>
    <n v="6544"/>
    <n v="749"/>
    <n v="888"/>
    <n v="594"/>
    <n v="18171"/>
    <n v="126475"/>
    <x v="2"/>
    <n v="6.4684720300454632"/>
  </r>
  <r>
    <s v="A55"/>
    <x v="0"/>
    <s v="2024-06-17"/>
    <x v="3"/>
    <x v="0"/>
    <x v="0"/>
    <n v="6976"/>
    <n v="1320"/>
    <n v="393"/>
    <n v="2285"/>
    <n v="14049"/>
    <n v="101367"/>
    <x v="4"/>
    <n v="8.5718231771681115"/>
  </r>
  <r>
    <s v="A56"/>
    <x v="1"/>
    <s v="2024-12-18"/>
    <x v="1"/>
    <x v="7"/>
    <x v="7"/>
    <n v="14775"/>
    <n v="1220"/>
    <n v="640"/>
    <n v="1547"/>
    <n v="28527"/>
    <n v="183660"/>
    <x v="4"/>
    <n v="9.0574975498203205"/>
  </r>
  <r>
    <s v="A57"/>
    <x v="1"/>
    <s v="2024-10-21"/>
    <x v="2"/>
    <x v="3"/>
    <x v="8"/>
    <n v="12015"/>
    <n v="1196"/>
    <n v="998"/>
    <n v="1848"/>
    <n v="44739"/>
    <n v="161750"/>
    <x v="4"/>
    <n v="8.7845440494590417"/>
  </r>
  <r>
    <s v="A58"/>
    <x v="2"/>
    <s v="2025-04-15"/>
    <x v="3"/>
    <x v="2"/>
    <x v="2"/>
    <n v="5419"/>
    <n v="1150"/>
    <n v="656"/>
    <n v="1990"/>
    <n v="410"/>
    <n v="158154"/>
    <x v="2"/>
    <n v="4.5683321319726344"/>
  </r>
  <r>
    <s v="A59"/>
    <x v="0"/>
    <s v="2024-06-22"/>
    <x v="0"/>
    <x v="6"/>
    <x v="6"/>
    <n v="16430"/>
    <n v="488"/>
    <n v="514"/>
    <n v="1436"/>
    <n v="30059"/>
    <n v="223305"/>
    <x v="3"/>
    <n v="7.8063634938760877"/>
  </r>
  <r>
    <s v="A60"/>
    <x v="2"/>
    <s v="2025-01-28"/>
    <x v="1"/>
    <x v="6"/>
    <x v="6"/>
    <n v="9239"/>
    <n v="1477"/>
    <n v="631"/>
    <n v="1556"/>
    <n v="11580"/>
    <n v="84738"/>
    <x v="2"/>
    <n v="13.390686586891359"/>
  </r>
  <r>
    <s v="A61"/>
    <x v="0"/>
    <s v="2024-09-05"/>
    <x v="3"/>
    <x v="9"/>
    <x v="4"/>
    <n v="16489"/>
    <n v="395"/>
    <n v="350"/>
    <n v="2364"/>
    <n v="43239"/>
    <n v="73397"/>
    <x v="4"/>
    <n v="23.48052372712781"/>
  </r>
  <r>
    <s v="A62"/>
    <x v="0"/>
    <d v="2025-09-20T00:00:00"/>
    <x v="0"/>
    <x v="3"/>
    <x v="8"/>
    <n v="18633"/>
    <n v="797"/>
    <n v="303"/>
    <n v="659"/>
    <n v="7"/>
    <n v="122189"/>
    <x v="1"/>
    <n v="16.14957156536186"/>
  </r>
  <r>
    <s v="A63"/>
    <x v="2"/>
    <s v="2024-07-31"/>
    <x v="0"/>
    <x v="0"/>
    <x v="0"/>
    <n v="12357"/>
    <n v="716"/>
    <n v="599"/>
    <n v="999"/>
    <n v="89591"/>
    <n v="116367"/>
    <x v="0"/>
    <n v="11.749035379446063"/>
  </r>
  <r>
    <s v="A64"/>
    <x v="2"/>
    <s v="2024-08-17"/>
    <x v="2"/>
    <x v="4"/>
    <x v="4"/>
    <n v="19154"/>
    <n v="1064"/>
    <n v="650"/>
    <n v="747"/>
    <n v="42667"/>
    <n v="242332"/>
    <x v="2"/>
    <n v="8.6113266097750198"/>
  </r>
  <r>
    <s v="A65"/>
    <x v="0"/>
    <s v="2025-03-28"/>
    <x v="1"/>
    <x v="0"/>
    <x v="0"/>
    <n v="6363"/>
    <n v="1341"/>
    <n v="222"/>
    <n v="2712"/>
    <n v="19987"/>
    <n v="160585"/>
    <x v="2"/>
    <n v="4.935703832861102"/>
  </r>
  <r>
    <s v="A66"/>
    <x v="3"/>
    <s v="2024-07-26"/>
    <x v="1"/>
    <x v="6"/>
    <x v="6"/>
    <n v="12176"/>
    <n v="1005"/>
    <n v="862"/>
    <n v="974"/>
    <n v="2285"/>
    <n v="116619"/>
    <x v="3"/>
    <n v="12.041777068916728"/>
  </r>
  <r>
    <s v="A67"/>
    <x v="1"/>
    <s v="2025-03-29"/>
    <x v="2"/>
    <x v="6"/>
    <x v="6"/>
    <n v="19461"/>
    <n v="1382"/>
    <n v="445"/>
    <n v="1307"/>
    <n v="84691"/>
    <n v="151453"/>
    <x v="3"/>
    <n v="14.055845707909384"/>
  </r>
  <r>
    <s v="A68"/>
    <x v="2"/>
    <s v="2024-12-08"/>
    <x v="2"/>
    <x v="1"/>
    <x v="1"/>
    <n v="10427"/>
    <n v="1014"/>
    <n v="166"/>
    <n v="1649"/>
    <n v="15145"/>
    <n v="59816"/>
    <x v="2"/>
    <n v="19.404507155276178"/>
  </r>
  <r>
    <s v="A69"/>
    <x v="1"/>
    <s v="2025-03-08"/>
    <x v="1"/>
    <x v="6"/>
    <x v="6"/>
    <n v="10580"/>
    <n v="427"/>
    <n v="790"/>
    <n v="2814"/>
    <n v="24916"/>
    <n v="213312"/>
    <x v="4"/>
    <n v="5.5303967896789681"/>
  </r>
  <r>
    <s v="A70"/>
    <x v="3"/>
    <s v="2025-04-02"/>
    <x v="1"/>
    <x v="7"/>
    <x v="7"/>
    <n v="6858"/>
    <n v="415"/>
    <n v="366"/>
    <n v="2761"/>
    <n v="2988"/>
    <n v="177348"/>
    <x v="0"/>
    <n v="4.3073505198818136"/>
  </r>
  <r>
    <s v="A71"/>
    <x v="3"/>
    <s v="2024-09-02"/>
    <x v="3"/>
    <x v="3"/>
    <x v="3"/>
    <n v="12040"/>
    <n v="1147"/>
    <n v="210"/>
    <n v="885"/>
    <n v="30360"/>
    <n v="119530"/>
    <x v="3"/>
    <n v="11.20806492094035"/>
  </r>
  <r>
    <s v="A72"/>
    <x v="3"/>
    <s v="2025-03-03"/>
    <x v="3"/>
    <x v="3"/>
    <x v="8"/>
    <n v="24928"/>
    <n v="214"/>
    <n v="765"/>
    <n v="1556"/>
    <n v="5239"/>
    <n v="194571"/>
    <x v="4"/>
    <n v="13.314933880177415"/>
  </r>
  <r>
    <s v="A73"/>
    <x v="2"/>
    <d v="2025-09-21T00:00:00"/>
    <x v="2"/>
    <x v="0"/>
    <x v="0"/>
    <n v="23103"/>
    <n v="1380"/>
    <n v="191"/>
    <n v="1547"/>
    <n v="77798"/>
    <n v="148856"/>
    <x v="1"/>
    <n v="16.575751061428495"/>
  </r>
  <r>
    <s v="A74"/>
    <x v="3"/>
    <s v="2024-10-28"/>
    <x v="3"/>
    <x v="3"/>
    <x v="3"/>
    <n v="21198"/>
    <n v="1484"/>
    <n v="174"/>
    <n v="1293"/>
    <n v="16330"/>
    <n v="111635"/>
    <x v="3"/>
    <n v="20.473865723115512"/>
  </r>
  <r>
    <s v="A75"/>
    <x v="2"/>
    <s v="2024-08-01"/>
    <x v="0"/>
    <x v="2"/>
    <x v="2"/>
    <n v="21758"/>
    <n v="1380"/>
    <n v="188"/>
    <n v="1735"/>
    <n v="20998"/>
    <n v="147803"/>
    <x v="4"/>
    <n v="15.781817689762725"/>
  </r>
  <r>
    <s v="A76"/>
    <x v="3"/>
    <s v="2024-11-07"/>
    <x v="3"/>
    <x v="4"/>
    <x v="4"/>
    <n v="17254"/>
    <n v="246"/>
    <n v="952"/>
    <n v="871"/>
    <n v="14957"/>
    <n v="75946"/>
    <x v="4"/>
    <n v="24.296210465330631"/>
  </r>
  <r>
    <s v="A77"/>
    <x v="1"/>
    <s v="2025-03-04"/>
    <x v="3"/>
    <x v="7"/>
    <x v="7"/>
    <n v="13470"/>
    <n v="523"/>
    <n v="280"/>
    <n v="2682"/>
    <n v="8538"/>
    <n v="95204"/>
    <x v="0"/>
    <n v="14.992017142136884"/>
  </r>
  <r>
    <s v="A78"/>
    <x v="1"/>
    <s v="2024-06-17"/>
    <x v="0"/>
    <x v="5"/>
    <x v="5"/>
    <n v="3252"/>
    <n v="1043"/>
    <n v="647"/>
    <n v="1545"/>
    <n v="18859"/>
    <n v="222958"/>
    <x v="0"/>
    <n v="2.2165609666394568"/>
  </r>
  <r>
    <s v="A79"/>
    <x v="0"/>
    <d v="2025-09-22T00:00:00"/>
    <x v="2"/>
    <x v="10"/>
    <x v="10"/>
    <n v="8996"/>
    <n v="329"/>
    <n v="378"/>
    <n v="2384"/>
    <n v="39404"/>
    <n v="242724"/>
    <x v="1"/>
    <n v="3.997544536181012"/>
  </r>
  <r>
    <s v="A80"/>
    <x v="1"/>
    <s v="2024-06-13"/>
    <x v="0"/>
    <x v="0"/>
    <x v="0"/>
    <n v="14173"/>
    <n v="294"/>
    <n v="257"/>
    <n v="1288"/>
    <n v="39466"/>
    <n v="55563"/>
    <x v="4"/>
    <n v="26.499649047027695"/>
  </r>
  <r>
    <s v="A81"/>
    <x v="0"/>
    <s v="2024-10-19"/>
    <x v="3"/>
    <x v="3"/>
    <x v="3"/>
    <n v="6673"/>
    <n v="826"/>
    <n v="321"/>
    <n v="577"/>
    <n v="19262"/>
    <n v="132324"/>
    <x v="4"/>
    <n v="5.9097367068710129"/>
  </r>
  <r>
    <s v="A82"/>
    <x v="1"/>
    <s v="2024-07-24"/>
    <x v="2"/>
    <x v="5"/>
    <x v="5"/>
    <n v="22914"/>
    <n v="954"/>
    <n v="584"/>
    <n v="1519"/>
    <n v="13637"/>
    <n v="49847"/>
    <x v="0"/>
    <n v="49.054105563022851"/>
  </r>
  <r>
    <s v="A83"/>
    <x v="2"/>
    <s v="2024-10-15"/>
    <x v="3"/>
    <x v="4"/>
    <x v="4"/>
    <n v="17781"/>
    <n v="993"/>
    <n v="627"/>
    <n v="2187"/>
    <n v="9609"/>
    <n v="66155"/>
    <x v="3"/>
    <n v="29.326581513113144"/>
  </r>
  <r>
    <s v="A84"/>
    <x v="1"/>
    <s v="2024-12-09"/>
    <x v="0"/>
    <x v="1"/>
    <x v="1"/>
    <n v="15051"/>
    <n v="268"/>
    <n v="251"/>
    <n v="783"/>
    <n v="34154"/>
    <n v="119671"/>
    <x v="3"/>
    <n v="13.010670922779955"/>
  </r>
  <r>
    <s v="A85"/>
    <x v="0"/>
    <s v="2025-04-19"/>
    <x v="0"/>
    <x v="5"/>
    <x v="5"/>
    <n v="8881"/>
    <n v="210"/>
    <n v="673"/>
    <n v="1565"/>
    <n v="24847"/>
    <n v="156891"/>
    <x v="2"/>
    <n v="6.2234290048505008"/>
  </r>
  <r>
    <s v="A86"/>
    <x v="0"/>
    <s v="2025-01-27"/>
    <x v="3"/>
    <x v="7"/>
    <x v="7"/>
    <n v="8949"/>
    <n v="1477"/>
    <n v="424"/>
    <n v="1030"/>
    <n v="58052"/>
    <n v="123310"/>
    <x v="0"/>
    <n v="8.798961965777309"/>
  </r>
  <r>
    <s v="A87"/>
    <x v="3"/>
    <s v="2024-06-06"/>
    <x v="1"/>
    <x v="7"/>
    <x v="7"/>
    <n v="11521"/>
    <n v="1071"/>
    <n v="762"/>
    <n v="2539"/>
    <n v="12701"/>
    <n v="238350"/>
    <x v="2"/>
    <n v="5.602685126914202"/>
  </r>
  <r>
    <s v="A88"/>
    <x v="2"/>
    <s v="2024-07-07"/>
    <x v="1"/>
    <x v="1"/>
    <x v="1"/>
    <n v="24625"/>
    <n v="749"/>
    <n v="193"/>
    <n v="1340"/>
    <n v="4890"/>
    <n v="189381"/>
    <x v="0"/>
    <n v="13.500298340382615"/>
  </r>
  <r>
    <s v="A89"/>
    <x v="1"/>
    <d v="2025-09-23T00:00:00"/>
    <x v="0"/>
    <x v="10"/>
    <x v="10"/>
    <n v="10017"/>
    <n v="1357"/>
    <n v="966"/>
    <n v="2871"/>
    <n v="14800"/>
    <n v="171691"/>
    <x v="1"/>
    <n v="7.1873307278774075"/>
  </r>
  <r>
    <s v="A90"/>
    <x v="3"/>
    <s v="2024-06-03"/>
    <x v="0"/>
    <x v="3"/>
    <x v="8"/>
    <n v="8941"/>
    <n v="911"/>
    <n v="166"/>
    <n v="1217"/>
    <n v="68817"/>
    <n v="221180"/>
    <x v="4"/>
    <n v="4.5293426168731354"/>
  </r>
  <r>
    <s v="A91"/>
    <x v="1"/>
    <d v="2025-09-24T00:00:00"/>
    <x v="1"/>
    <x v="5"/>
    <x v="5"/>
    <n v="12209"/>
    <n v="222"/>
    <n v="479"/>
    <n v="2748"/>
    <n v="24615"/>
    <n v="74707"/>
    <x v="1"/>
    <n v="17.28084382989546"/>
  </r>
  <r>
    <s v="A92"/>
    <x v="1"/>
    <s v="2024-10-21"/>
    <x v="1"/>
    <x v="1"/>
    <x v="1"/>
    <n v="19715"/>
    <n v="1014"/>
    <n v="718"/>
    <n v="1185"/>
    <n v="37625"/>
    <n v="191409"/>
    <x v="0"/>
    <n v="11.204802282024357"/>
  </r>
  <r>
    <s v="A93"/>
    <x v="3"/>
    <s v="2024-12-11"/>
    <x v="3"/>
    <x v="7"/>
    <x v="7"/>
    <n v="22645"/>
    <n v="545"/>
    <n v="972"/>
    <n v="321"/>
    <n v="8396"/>
    <n v="121537"/>
    <x v="4"/>
    <n v="19.880365649966677"/>
  </r>
  <r>
    <s v="A94"/>
    <x v="3"/>
    <s v="2024-11-07"/>
    <x v="3"/>
    <x v="7"/>
    <x v="7"/>
    <n v="11550"/>
    <n v="501"/>
    <n v="646"/>
    <n v="773"/>
    <n v="17841"/>
    <n v="237576"/>
    <x v="3"/>
    <n v="5.3443950567397387"/>
  </r>
  <r>
    <s v="A95"/>
    <x v="3"/>
    <s v="2024-11-08"/>
    <x v="1"/>
    <x v="3"/>
    <x v="3"/>
    <n v="23499"/>
    <n v="562"/>
    <n v="964"/>
    <n v="2557"/>
    <n v="56890"/>
    <n v="218686"/>
    <x v="3"/>
    <n v="11.443347996671026"/>
  </r>
  <r>
    <s v="A96"/>
    <x v="3"/>
    <s v="2024-09-10"/>
    <x v="3"/>
    <x v="6"/>
    <x v="6"/>
    <n v="6637"/>
    <n v="595"/>
    <n v="161"/>
    <n v="2653"/>
    <n v="19334"/>
    <n v="131155"/>
    <x v="2"/>
    <n v="5.6368419046166744"/>
  </r>
  <r>
    <s v="A97"/>
    <x v="3"/>
    <s v="2024-08-13"/>
    <x v="3"/>
    <x v="10"/>
    <x v="10"/>
    <n v="6854"/>
    <n v="417"/>
    <n v="467"/>
    <n v="1003"/>
    <n v="61333"/>
    <n v="40281"/>
    <x v="0"/>
    <n v="19.210049402944314"/>
  </r>
  <r>
    <s v="A98"/>
    <x v="1"/>
    <s v="2024-06-10"/>
    <x v="2"/>
    <x v="5"/>
    <x v="5"/>
    <n v="21561"/>
    <n v="340"/>
    <n v="741"/>
    <n v="986"/>
    <n v="24826"/>
    <n v="198492"/>
    <x v="0"/>
    <n v="11.40700884670415"/>
  </r>
  <r>
    <s v="A99"/>
    <x v="3"/>
    <s v="2024-07-02"/>
    <x v="3"/>
    <x v="5"/>
    <x v="5"/>
    <n v="12320"/>
    <n v="1157"/>
    <n v="365"/>
    <n v="584"/>
    <n v="66634"/>
    <n v="210102"/>
    <x v="3"/>
    <n v="6.5882285746922928"/>
  </r>
  <r>
    <s v="A100"/>
    <x v="2"/>
    <d v="2025-09-25T00:00:00"/>
    <x v="0"/>
    <x v="4"/>
    <x v="4"/>
    <n v="20564"/>
    <n v="1433"/>
    <n v="488"/>
    <n v="1015"/>
    <n v="24333"/>
    <n v="172130"/>
    <x v="1"/>
    <n v="13.062801371056759"/>
  </r>
  <r>
    <s v="A101"/>
    <x v="0"/>
    <s v="2024-10-18"/>
    <x v="3"/>
    <x v="1"/>
    <x v="1"/>
    <n v="6892"/>
    <n v="1184"/>
    <n v="925"/>
    <n v="1062"/>
    <n v="75008"/>
    <n v="116260"/>
    <x v="4"/>
    <n v="7.7421297092723202"/>
  </r>
  <r>
    <s v="A102"/>
    <x v="3"/>
    <d v="2025-09-26T00:00:00"/>
    <x v="3"/>
    <x v="4"/>
    <x v="4"/>
    <n v="9043"/>
    <n v="1192"/>
    <n v="810"/>
    <n v="1550"/>
    <n v="5221"/>
    <n v="199476"/>
    <x v="1"/>
    <n v="5.5370069582305641"/>
  </r>
  <r>
    <s v="A103"/>
    <x v="3"/>
    <d v="2025-09-27T00:00:00"/>
    <x v="1"/>
    <x v="1"/>
    <x v="1"/>
    <n v="18521"/>
    <n v="1027"/>
    <n v="230"/>
    <n v="1247"/>
    <n v="39588"/>
    <n v="200928"/>
    <x v="1"/>
    <n v="9.8433269628921813"/>
  </r>
  <r>
    <s v="A104"/>
    <x v="1"/>
    <s v="2025-03-23"/>
    <x v="0"/>
    <x v="2"/>
    <x v="2"/>
    <n v="24711"/>
    <n v="882"/>
    <n v="876"/>
    <n v="2728"/>
    <n v="32015"/>
    <n v="180272"/>
    <x v="3"/>
    <n v="14.68281263867933"/>
  </r>
  <r>
    <s v="A105"/>
    <x v="3"/>
    <s v="2024-06-14"/>
    <x v="3"/>
    <x v="7"/>
    <x v="7"/>
    <n v="21856"/>
    <n v="1203"/>
    <n v="634"/>
    <n v="2807"/>
    <n v="3647"/>
    <n v="104178"/>
    <x v="3"/>
    <n v="22.742805582752595"/>
  </r>
  <r>
    <s v="A106"/>
    <x v="3"/>
    <s v="2025-02-04"/>
    <x v="3"/>
    <x v="6"/>
    <x v="6"/>
    <n v="23833"/>
    <n v="555"/>
    <n v="523"/>
    <n v="1330"/>
    <n v="69141"/>
    <n v="73997"/>
    <x v="3"/>
    <n v="33.664878305877266"/>
  </r>
  <r>
    <s v="A107"/>
    <x v="3"/>
    <s v="2024-06-21"/>
    <x v="2"/>
    <x v="3"/>
    <x v="3"/>
    <n v="21216"/>
    <n v="1207"/>
    <n v="859"/>
    <n v="328"/>
    <n v="91296"/>
    <n v="196683"/>
    <x v="2"/>
    <n v="11.837321985123269"/>
  </r>
  <r>
    <s v="A108"/>
    <x v="1"/>
    <d v="2025-09-28T00:00:00"/>
    <x v="3"/>
    <x v="6"/>
    <x v="6"/>
    <n v="21963"/>
    <n v="1356"/>
    <n v="349"/>
    <n v="1206"/>
    <n v="51755"/>
    <n v="159273"/>
    <x v="1"/>
    <n v="14.860020216860359"/>
  </r>
  <r>
    <s v="A109"/>
    <x v="3"/>
    <s v="2024-08-08"/>
    <x v="3"/>
    <x v="6"/>
    <x v="6"/>
    <n v="24355"/>
    <n v="1087"/>
    <n v="686"/>
    <n v="2426"/>
    <n v="24963"/>
    <n v="212307"/>
    <x v="0"/>
    <n v="12.306706797232311"/>
  </r>
  <r>
    <s v="A110"/>
    <x v="0"/>
    <s v="2024-07-29"/>
    <x v="2"/>
    <x v="6"/>
    <x v="6"/>
    <n v="6164"/>
    <n v="326"/>
    <n v="615"/>
    <n v="2806"/>
    <n v="38579"/>
    <n v="206129"/>
    <x v="4"/>
    <n v="3.4468706489625425"/>
  </r>
  <r>
    <s v="A111"/>
    <x v="1"/>
    <s v="2024-11-23"/>
    <x v="1"/>
    <x v="4"/>
    <x v="4"/>
    <n v="9941"/>
    <n v="1329"/>
    <n v="238"/>
    <n v="869"/>
    <n v="40281"/>
    <n v="172311"/>
    <x v="2"/>
    <n v="6.67862179431377"/>
  </r>
  <r>
    <s v="A112"/>
    <x v="0"/>
    <s v="2024-10-05"/>
    <x v="3"/>
    <x v="1"/>
    <x v="1"/>
    <n v="16388"/>
    <n v="1208"/>
    <n v="417"/>
    <n v="2306"/>
    <n v="16865"/>
    <n v="236733"/>
    <x v="0"/>
    <n v="7.608994098837087"/>
  </r>
  <r>
    <s v="A113"/>
    <x v="1"/>
    <d v="2025-09-29T00:00:00"/>
    <x v="2"/>
    <x v="8"/>
    <x v="9"/>
    <n v="7569"/>
    <n v="803"/>
    <n v="804"/>
    <n v="1753"/>
    <n v="43582"/>
    <n v="166945"/>
    <x v="1"/>
    <n v="5.4964209769684631"/>
  </r>
  <r>
    <s v="A114"/>
    <x v="3"/>
    <s v="2024-11-14"/>
    <x v="0"/>
    <x v="2"/>
    <x v="2"/>
    <n v="6300"/>
    <n v="1213"/>
    <n v="720"/>
    <n v="1037"/>
    <n v="39569"/>
    <n v="85272"/>
    <x v="3"/>
    <n v="9.6549863964724647"/>
  </r>
  <r>
    <s v="A115"/>
    <x v="0"/>
    <d v="2025-09-30T00:00:00"/>
    <x v="1"/>
    <x v="0"/>
    <x v="0"/>
    <n v="8269"/>
    <n v="250"/>
    <n v="638"/>
    <n v="815"/>
    <n v="41991"/>
    <n v="129393"/>
    <x v="1"/>
    <n v="7.0768897853825177"/>
  </r>
  <r>
    <s v="A116"/>
    <x v="1"/>
    <s v="2025-03-18"/>
    <x v="0"/>
    <x v="6"/>
    <x v="6"/>
    <n v="5818"/>
    <n v="1252"/>
    <n v="687"/>
    <n v="2300"/>
    <n v="25081"/>
    <n v="101212"/>
    <x v="4"/>
    <n v="7.6641109749832044"/>
  </r>
  <r>
    <s v="A117"/>
    <x v="2"/>
    <s v="2024-11-04"/>
    <x v="0"/>
    <x v="3"/>
    <x v="8"/>
    <n v="14015"/>
    <n v="978"/>
    <n v="196"/>
    <n v="2744"/>
    <n v="20190"/>
    <n v="186470"/>
    <x v="2"/>
    <n v="8.1455462004611991"/>
  </r>
  <r>
    <s v="A118"/>
    <x v="3"/>
    <s v="2024-11-04"/>
    <x v="2"/>
    <x v="4"/>
    <x v="4"/>
    <n v="14234"/>
    <n v="1013"/>
    <n v="437"/>
    <n v="338"/>
    <n v="67754"/>
    <n v="160030"/>
    <x v="2"/>
    <n v="9.8006623758045368"/>
  </r>
  <r>
    <s v="A119"/>
    <x v="1"/>
    <s v="2025-02-07"/>
    <x v="3"/>
    <x v="10"/>
    <x v="10"/>
    <n v="20290"/>
    <n v="619"/>
    <n v="927"/>
    <n v="1186"/>
    <n v="8924"/>
    <n v="96503"/>
    <x v="4"/>
    <n v="22.627275835984374"/>
  </r>
  <r>
    <s v="A120"/>
    <x v="2"/>
    <s v="2024-10-21"/>
    <x v="2"/>
    <x v="3"/>
    <x v="3"/>
    <n v="8254"/>
    <n v="1405"/>
    <n v="165"/>
    <n v="2504"/>
    <n v="8081"/>
    <n v="177710"/>
    <x v="0"/>
    <n v="5.5281075910190758"/>
  </r>
  <r>
    <s v="A121"/>
    <x v="1"/>
    <s v="2024-07-29"/>
    <x v="2"/>
    <x v="0"/>
    <x v="0"/>
    <n v="19144"/>
    <n v="1182"/>
    <n v="860"/>
    <n v="1398"/>
    <n v="4185"/>
    <n v="46570"/>
    <x v="0"/>
    <n v="45.492806527807602"/>
  </r>
  <r>
    <s v="A122"/>
    <x v="2"/>
    <s v="2024-10-02"/>
    <x v="2"/>
    <x v="8"/>
    <x v="9"/>
    <n v="9350"/>
    <n v="1024"/>
    <n v="550"/>
    <n v="2123"/>
    <n v="53916"/>
    <n v="108785"/>
    <x v="2"/>
    <n v="10.041825619340901"/>
  </r>
  <r>
    <s v="A123"/>
    <x v="3"/>
    <s v="2024-06-14"/>
    <x v="2"/>
    <x v="3"/>
    <x v="8"/>
    <n v="17183"/>
    <n v="1224"/>
    <n v="943"/>
    <n v="2010"/>
    <n v="21481"/>
    <n v="49110"/>
    <x v="2"/>
    <n v="39.401343921808184"/>
  </r>
  <r>
    <s v="A124"/>
    <x v="0"/>
    <s v="2025-04-06"/>
    <x v="1"/>
    <x v="8"/>
    <x v="9"/>
    <n v="8238"/>
    <n v="766"/>
    <n v="235"/>
    <n v="1273"/>
    <n v="4706"/>
    <n v="119141"/>
    <x v="3"/>
    <n v="7.7546772311798629"/>
  </r>
  <r>
    <s v="A125"/>
    <x v="2"/>
    <s v="2024-09-08"/>
    <x v="3"/>
    <x v="0"/>
    <x v="0"/>
    <n v="8090"/>
    <n v="570"/>
    <n v="399"/>
    <n v="1862"/>
    <n v="34088"/>
    <n v="52115"/>
    <x v="0"/>
    <n v="17.382711311522595"/>
  </r>
  <r>
    <s v="A126"/>
    <x v="1"/>
    <s v="2025-03-28"/>
    <x v="0"/>
    <x v="6"/>
    <x v="6"/>
    <n v="13637"/>
    <n v="1135"/>
    <n v="540"/>
    <n v="1288"/>
    <n v="45183"/>
    <n v="79062"/>
    <x v="4"/>
    <n v="19.367079001290126"/>
  </r>
  <r>
    <s v="A127"/>
    <x v="3"/>
    <s v="2025-01-27"/>
    <x v="0"/>
    <x v="3"/>
    <x v="8"/>
    <n v="24415"/>
    <n v="860"/>
    <n v="931"/>
    <n v="320"/>
    <n v="65049"/>
    <n v="62911"/>
    <x v="0"/>
    <n v="41.655672298962024"/>
  </r>
  <r>
    <s v="A128"/>
    <x v="2"/>
    <s v="2025-01-10"/>
    <x v="3"/>
    <x v="8"/>
    <x v="9"/>
    <n v="14647"/>
    <n v="1168"/>
    <n v="484"/>
    <n v="2650"/>
    <n v="27217"/>
    <n v="144061"/>
    <x v="3"/>
    <n v="11.313957281984715"/>
  </r>
  <r>
    <s v="A129"/>
    <x v="1"/>
    <s v="2024-07-21"/>
    <x v="0"/>
    <x v="3"/>
    <x v="3"/>
    <n v="11911"/>
    <n v="1360"/>
    <n v="778"/>
    <n v="1168"/>
    <n v="16483"/>
    <n v="72556"/>
    <x v="2"/>
    <n v="19.362974805667346"/>
  </r>
  <r>
    <s v="A130"/>
    <x v="1"/>
    <s v="2024-09-29"/>
    <x v="3"/>
    <x v="1"/>
    <x v="1"/>
    <n v="10472"/>
    <n v="401"/>
    <n v="668"/>
    <n v="383"/>
    <n v="37571"/>
    <n v="249203"/>
    <x v="2"/>
    <n v="4.6311641513143904"/>
  </r>
  <r>
    <s v="A131"/>
    <x v="1"/>
    <s v="2024-10-21"/>
    <x v="0"/>
    <x v="7"/>
    <x v="7"/>
    <n v="20271"/>
    <n v="512"/>
    <n v="286"/>
    <n v="1982"/>
    <n v="43225"/>
    <n v="168335"/>
    <x v="3"/>
    <n v="12.516113701844537"/>
  </r>
  <r>
    <s v="A132"/>
    <x v="2"/>
    <s v="2025-03-04"/>
    <x v="2"/>
    <x v="1"/>
    <x v="1"/>
    <n v="5266"/>
    <n v="316"/>
    <n v="837"/>
    <n v="2276"/>
    <n v="20967"/>
    <n v="41969"/>
    <x v="4"/>
    <n v="15.294622221163239"/>
  </r>
  <r>
    <s v="A133"/>
    <x v="2"/>
    <s v="2025-02-06"/>
    <x v="0"/>
    <x v="0"/>
    <x v="0"/>
    <n v="2666"/>
    <n v="1136"/>
    <n v="989"/>
    <n v="1710"/>
    <n v="36467"/>
    <n v="83753"/>
    <x v="2"/>
    <n v="5.72039210535742"/>
  </r>
  <r>
    <s v="A134"/>
    <x v="2"/>
    <d v="2025-10-01T00:00:00"/>
    <x v="3"/>
    <x v="4"/>
    <x v="4"/>
    <n v="6188"/>
    <n v="774"/>
    <n v="647"/>
    <n v="1830"/>
    <n v="55436"/>
    <n v="175542"/>
    <x v="1"/>
    <n v="4.3345752013763086"/>
  </r>
  <r>
    <s v="A135"/>
    <x v="0"/>
    <s v="2024-11-28"/>
    <x v="3"/>
    <x v="7"/>
    <x v="7"/>
    <n v="19055"/>
    <n v="443"/>
    <n v="976"/>
    <n v="869"/>
    <n v="75437"/>
    <n v="161863"/>
    <x v="2"/>
    <n v="12.648968572187592"/>
  </r>
  <r>
    <s v="A136"/>
    <x v="2"/>
    <d v="2025-10-02T00:00:00"/>
    <x v="3"/>
    <x v="2"/>
    <x v="2"/>
    <n v="12161"/>
    <n v="736"/>
    <n v="876"/>
    <n v="1233"/>
    <n v="21337"/>
    <n v="50225"/>
    <x v="1"/>
    <n v="27.422598307615729"/>
  </r>
  <r>
    <s v="A137"/>
    <x v="2"/>
    <s v="2024-07-31"/>
    <x v="3"/>
    <x v="3"/>
    <x v="3"/>
    <n v="13314"/>
    <n v="274"/>
    <n v="626"/>
    <n v="2280"/>
    <n v="14639"/>
    <n v="163008"/>
    <x v="3"/>
    <n v="8.7198174322732616"/>
  </r>
  <r>
    <s v="A138"/>
    <x v="2"/>
    <s v="2025-03-29"/>
    <x v="3"/>
    <x v="2"/>
    <x v="2"/>
    <n v="23508"/>
    <n v="585"/>
    <n v="743"/>
    <n v="2155"/>
    <n v="3704"/>
    <n v="194268"/>
    <x v="3"/>
    <n v="12.78440093067309"/>
  </r>
  <r>
    <s v="A139"/>
    <x v="0"/>
    <s v="2024-10-29"/>
    <x v="1"/>
    <x v="3"/>
    <x v="8"/>
    <n v="23969"/>
    <n v="1433"/>
    <n v="372"/>
    <n v="1092"/>
    <n v="32147"/>
    <n v="145823"/>
    <x v="2"/>
    <n v="17.674852389540742"/>
  </r>
  <r>
    <s v="A140"/>
    <x v="2"/>
    <s v="2024-07-15"/>
    <x v="1"/>
    <x v="5"/>
    <x v="5"/>
    <n v="14891"/>
    <n v="674"/>
    <n v="521"/>
    <n v="1091"/>
    <n v="18101"/>
    <n v="53669"/>
    <x v="0"/>
    <n v="29.972609886526673"/>
  </r>
  <r>
    <s v="A141"/>
    <x v="1"/>
    <d v="2025-10-03T00:00:00"/>
    <x v="0"/>
    <x v="7"/>
    <x v="7"/>
    <n v="6777"/>
    <n v="617"/>
    <n v="551"/>
    <n v="2109"/>
    <n v="18559"/>
    <n v="208452"/>
    <x v="1"/>
    <n v="3.8114290100358836"/>
  </r>
  <r>
    <s v="A142"/>
    <x v="2"/>
    <s v="2025-03-25"/>
    <x v="3"/>
    <x v="2"/>
    <x v="2"/>
    <n v="5900"/>
    <n v="546"/>
    <n v="592"/>
    <n v="1594"/>
    <n v="38627"/>
    <n v="164398"/>
    <x v="4"/>
    <n v="4.2810739790021781"/>
  </r>
  <r>
    <s v="A143"/>
    <x v="1"/>
    <s v="2024-10-02"/>
    <x v="0"/>
    <x v="2"/>
    <x v="2"/>
    <n v="15716"/>
    <n v="839"/>
    <n v="639"/>
    <n v="2839"/>
    <n v="349"/>
    <n v="150677"/>
    <x v="2"/>
    <n v="11.411164278556116"/>
  </r>
  <r>
    <s v="A144"/>
    <x v="1"/>
    <s v="2024-10-28"/>
    <x v="3"/>
    <x v="8"/>
    <x v="9"/>
    <n v="8981"/>
    <n v="1138"/>
    <n v="764"/>
    <n v="2555"/>
    <n v="92810"/>
    <n v="88320"/>
    <x v="4"/>
    <n v="12.32223731884058"/>
  </r>
  <r>
    <s v="A145"/>
    <x v="1"/>
    <s v="2024-08-12"/>
    <x v="3"/>
    <x v="1"/>
    <x v="1"/>
    <n v="8376"/>
    <n v="1154"/>
    <n v="422"/>
    <n v="1907"/>
    <n v="36874"/>
    <n v="218486"/>
    <x v="2"/>
    <n v="4.5549829279679246"/>
  </r>
  <r>
    <s v="A146"/>
    <x v="0"/>
    <s v="2024-06-05"/>
    <x v="1"/>
    <x v="8"/>
    <x v="9"/>
    <n v="18907"/>
    <n v="1075"/>
    <n v="675"/>
    <n v="1383"/>
    <n v="17875"/>
    <n v="186649"/>
    <x v="0"/>
    <n v="11.067297440650634"/>
  </r>
  <r>
    <s v="A147"/>
    <x v="0"/>
    <s v="2024-10-21"/>
    <x v="1"/>
    <x v="7"/>
    <x v="7"/>
    <n v="20777"/>
    <n v="962"/>
    <n v="308"/>
    <n v="2777"/>
    <n v="25529"/>
    <n v="165354"/>
    <x v="0"/>
    <n v="13.333212380710476"/>
  </r>
  <r>
    <s v="A148"/>
    <x v="0"/>
    <s v="2025-04-15"/>
    <x v="2"/>
    <x v="7"/>
    <x v="7"/>
    <n v="20977"/>
    <n v="1402"/>
    <n v="301"/>
    <n v="1284"/>
    <n v="24620"/>
    <n v="128009"/>
    <x v="0"/>
    <n v="17.717504237983267"/>
  </r>
  <r>
    <s v="A149"/>
    <x v="2"/>
    <s v="2024-06-16"/>
    <x v="1"/>
    <x v="0"/>
    <x v="0"/>
    <n v="12160"/>
    <n v="1405"/>
    <n v="769"/>
    <n v="1980"/>
    <n v="33174"/>
    <n v="226481"/>
    <x v="0"/>
    <n v="6.3290077313328714"/>
  </r>
  <r>
    <s v="A150"/>
    <x v="1"/>
    <s v="2024-08-22"/>
    <x v="2"/>
    <x v="8"/>
    <x v="9"/>
    <n v="16124"/>
    <n v="863"/>
    <n v="337"/>
    <n v="819"/>
    <n v="85788"/>
    <n v="68625"/>
    <x v="3"/>
    <n v="25.244444444444447"/>
  </r>
  <r>
    <s v="A151"/>
    <x v="0"/>
    <s v="2024-07-26"/>
    <x v="2"/>
    <x v="9"/>
    <x v="4"/>
    <n v="18282"/>
    <n v="224"/>
    <n v="962"/>
    <n v="890"/>
    <n v="35105"/>
    <n v="64089"/>
    <x v="3"/>
    <n v="30.376507669022768"/>
  </r>
  <r>
    <s v="A152"/>
    <x v="0"/>
    <d v="2025-10-04T00:00:00"/>
    <x v="2"/>
    <x v="10"/>
    <x v="10"/>
    <n v="12488"/>
    <n v="1403"/>
    <n v="247"/>
    <n v="1350"/>
    <n v="28370"/>
    <n v="76487"/>
    <x v="1"/>
    <n v="18.484186855282598"/>
  </r>
  <r>
    <s v="A153"/>
    <x v="2"/>
    <s v="2025-01-01"/>
    <x v="2"/>
    <x v="1"/>
    <x v="1"/>
    <n v="24574"/>
    <n v="909"/>
    <n v="280"/>
    <n v="2009"/>
    <n v="6221"/>
    <n v="236910"/>
    <x v="4"/>
    <n v="10.874593727575872"/>
  </r>
  <r>
    <s v="A154"/>
    <x v="0"/>
    <s v="2024-10-09"/>
    <x v="2"/>
    <x v="7"/>
    <x v="7"/>
    <n v="7240"/>
    <n v="1384"/>
    <n v="954"/>
    <n v="2335"/>
    <n v="6757"/>
    <n v="150448"/>
    <x v="2"/>
    <n v="6.366319259810699"/>
  </r>
  <r>
    <s v="A155"/>
    <x v="2"/>
    <s v="2024-12-21"/>
    <x v="0"/>
    <x v="0"/>
    <x v="0"/>
    <n v="12453"/>
    <n v="376"/>
    <n v="320"/>
    <n v="2546"/>
    <n v="22617"/>
    <n v="90138"/>
    <x v="2"/>
    <n v="14.587632297144379"/>
  </r>
  <r>
    <s v="A156"/>
    <x v="3"/>
    <s v="2024-10-22"/>
    <x v="1"/>
    <x v="5"/>
    <x v="5"/>
    <n v="12478"/>
    <n v="484"/>
    <n v="332"/>
    <n v="2734"/>
    <n v="43338"/>
    <n v="213895"/>
    <x v="3"/>
    <n v="6.2151990462610156"/>
  </r>
  <r>
    <s v="A157"/>
    <x v="0"/>
    <s v="2024-07-23"/>
    <x v="2"/>
    <x v="8"/>
    <x v="9"/>
    <n v="24877"/>
    <n v="262"/>
    <n v="513"/>
    <n v="648"/>
    <n v="47544"/>
    <n v="208280"/>
    <x v="2"/>
    <n v="12.316112924908778"/>
  </r>
  <r>
    <s v="A158"/>
    <x v="3"/>
    <s v="2024-08-11"/>
    <x v="3"/>
    <x v="1"/>
    <x v="1"/>
    <n v="14394"/>
    <n v="1202"/>
    <n v="188"/>
    <n v="1259"/>
    <n v="21925"/>
    <n v="94061"/>
    <x v="3"/>
    <n v="16.780599823518781"/>
  </r>
  <r>
    <s v="A159"/>
    <x v="2"/>
    <d v="2025-10-05T00:00:00"/>
    <x v="1"/>
    <x v="5"/>
    <x v="5"/>
    <n v="21262"/>
    <n v="861"/>
    <n v="676"/>
    <n v="2263"/>
    <n v="12085"/>
    <n v="201731"/>
    <x v="1"/>
    <n v="11.301683925623726"/>
  </r>
  <r>
    <s v="A160"/>
    <x v="1"/>
    <s v="2024-08-24"/>
    <x v="1"/>
    <x v="8"/>
    <x v="9"/>
    <n v="22527"/>
    <n v="865"/>
    <n v="646"/>
    <n v="992"/>
    <n v="18654"/>
    <n v="141376"/>
    <x v="4"/>
    <n v="17.002885921231325"/>
  </r>
  <r>
    <s v="A161"/>
    <x v="0"/>
    <d v="2025-10-06T00:00:00"/>
    <x v="2"/>
    <x v="2"/>
    <x v="2"/>
    <n v="22028"/>
    <n v="355"/>
    <n v="665"/>
    <n v="1859"/>
    <n v="50565"/>
    <n v="202962"/>
    <x v="1"/>
    <n v="11.355820301337197"/>
  </r>
  <r>
    <s v="A162"/>
    <x v="2"/>
    <s v="2025-04-01"/>
    <x v="0"/>
    <x v="5"/>
    <x v="5"/>
    <n v="6432"/>
    <n v="1272"/>
    <n v="498"/>
    <n v="677"/>
    <n v="47305"/>
    <n v="119134"/>
    <x v="0"/>
    <n v="6.8846844729464296"/>
  </r>
  <r>
    <s v="A163"/>
    <x v="1"/>
    <s v="2025-04-08"/>
    <x v="2"/>
    <x v="0"/>
    <x v="0"/>
    <n v="15568"/>
    <n v="1166"/>
    <n v="546"/>
    <n v="826"/>
    <n v="21836"/>
    <n v="87055"/>
    <x v="0"/>
    <n v="19.84952041812647"/>
  </r>
  <r>
    <s v="A164"/>
    <x v="1"/>
    <s v="2025-02-27"/>
    <x v="0"/>
    <x v="1"/>
    <x v="1"/>
    <n v="16178"/>
    <n v="1048"/>
    <n v="871"/>
    <n v="2553"/>
    <n v="39025"/>
    <n v="59508"/>
    <x v="0"/>
    <n v="30.411037171472742"/>
  </r>
  <r>
    <s v="A165"/>
    <x v="3"/>
    <d v="2025-10-07T00:00:00"/>
    <x v="3"/>
    <x v="6"/>
    <x v="6"/>
    <n v="19660"/>
    <n v="1307"/>
    <n v="310"/>
    <n v="2802"/>
    <n v="22171"/>
    <n v="213359"/>
    <x v="1"/>
    <n v="9.9723939463533284"/>
  </r>
  <r>
    <s v="A166"/>
    <x v="2"/>
    <s v="2025-02-16"/>
    <x v="1"/>
    <x v="3"/>
    <x v="8"/>
    <n v="24195"/>
    <n v="888"/>
    <n v="165"/>
    <n v="1559"/>
    <n v="11596"/>
    <n v="249988"/>
    <x v="2"/>
    <n v="10.099684784869673"/>
  </r>
  <r>
    <s v="A167"/>
    <x v="1"/>
    <s v="2024-11-28"/>
    <x v="3"/>
    <x v="3"/>
    <x v="8"/>
    <n v="2302"/>
    <n v="347"/>
    <n v="642"/>
    <n v="2175"/>
    <n v="56378"/>
    <n v="198056"/>
    <x v="4"/>
    <n v="1.6616512501514722"/>
  </r>
  <r>
    <s v="A168"/>
    <x v="0"/>
    <s v="2024-11-12"/>
    <x v="0"/>
    <x v="1"/>
    <x v="1"/>
    <n v="19022"/>
    <n v="541"/>
    <n v="575"/>
    <n v="2063"/>
    <n v="42743"/>
    <n v="150169"/>
    <x v="0"/>
    <n v="13.410224480418728"/>
  </r>
  <r>
    <s v="A169"/>
    <x v="0"/>
    <s v="2024-12-03"/>
    <x v="0"/>
    <x v="5"/>
    <x v="5"/>
    <n v="2055"/>
    <n v="675"/>
    <n v="257"/>
    <n v="820"/>
    <n v="33534"/>
    <n v="48125"/>
    <x v="0"/>
    <n v="6.2067532467532462"/>
  </r>
  <r>
    <s v="A170"/>
    <x v="3"/>
    <s v="2025-04-28"/>
    <x v="3"/>
    <x v="8"/>
    <x v="9"/>
    <n v="15013"/>
    <n v="1286"/>
    <n v="599"/>
    <n v="2001"/>
    <n v="67839"/>
    <n v="76059"/>
    <x v="0"/>
    <n v="22.216963147030594"/>
  </r>
  <r>
    <s v="A171"/>
    <x v="1"/>
    <s v="2024-12-31"/>
    <x v="0"/>
    <x v="0"/>
    <x v="0"/>
    <n v="10717"/>
    <n v="760"/>
    <n v="460"/>
    <n v="1316"/>
    <n v="18164"/>
    <n v="240641"/>
    <x v="4"/>
    <n v="4.9605013277039243"/>
  </r>
  <r>
    <s v="A172"/>
    <x v="2"/>
    <s v="2024-08-14"/>
    <x v="3"/>
    <x v="10"/>
    <x v="10"/>
    <n v="10150"/>
    <n v="526"/>
    <n v="888"/>
    <n v="1313"/>
    <n v="51605"/>
    <n v="143409"/>
    <x v="0"/>
    <n v="8.063650119588031"/>
  </r>
  <r>
    <s v="A173"/>
    <x v="0"/>
    <s v="2024-12-05"/>
    <x v="1"/>
    <x v="3"/>
    <x v="8"/>
    <n v="4125"/>
    <n v="1364"/>
    <n v="319"/>
    <n v="2848"/>
    <n v="15379"/>
    <n v="188159"/>
    <x v="4"/>
    <n v="3.0867510988047342"/>
  </r>
  <r>
    <s v="A174"/>
    <x v="1"/>
    <s v="2024-06-22"/>
    <x v="3"/>
    <x v="0"/>
    <x v="0"/>
    <n v="13479"/>
    <n v="1189"/>
    <n v="695"/>
    <n v="416"/>
    <n v="30229"/>
    <n v="45704"/>
    <x v="0"/>
    <n v="33.61412567827761"/>
  </r>
  <r>
    <s v="A175"/>
    <x v="1"/>
    <d v="2025-10-08T00:00:00"/>
    <x v="1"/>
    <x v="3"/>
    <x v="8"/>
    <n v="17745"/>
    <n v="414"/>
    <n v="563"/>
    <n v="2733"/>
    <n v="995"/>
    <n v="231648"/>
    <x v="1"/>
    <n v="8.0820900676889078"/>
  </r>
  <r>
    <s v="A176"/>
    <x v="3"/>
    <d v="2025-10-09T00:00:00"/>
    <x v="3"/>
    <x v="2"/>
    <x v="2"/>
    <n v="18748"/>
    <n v="634"/>
    <n v="400"/>
    <n v="1667"/>
    <n v="75813"/>
    <n v="244456"/>
    <x v="1"/>
    <n v="8.0922538207284749"/>
  </r>
  <r>
    <s v="A177"/>
    <x v="0"/>
    <s v="2024-07-10"/>
    <x v="0"/>
    <x v="8"/>
    <x v="9"/>
    <n v="8809"/>
    <n v="1151"/>
    <n v="908"/>
    <n v="883"/>
    <n v="42921"/>
    <n v="151279"/>
    <x v="4"/>
    <n v="7.1840771025720684"/>
  </r>
  <r>
    <s v="A178"/>
    <x v="0"/>
    <d v="2025-10-10T00:00:00"/>
    <x v="3"/>
    <x v="2"/>
    <x v="2"/>
    <n v="6621"/>
    <n v="922"/>
    <n v="930"/>
    <n v="694"/>
    <n v="839"/>
    <n v="243532"/>
    <x v="1"/>
    <n v="3.4792142305733949"/>
  </r>
  <r>
    <s v="A179"/>
    <x v="2"/>
    <s v="2024-07-15"/>
    <x v="0"/>
    <x v="3"/>
    <x v="8"/>
    <n v="17034"/>
    <n v="231"/>
    <n v="290"/>
    <n v="1387"/>
    <n v="63550"/>
    <n v="198280"/>
    <x v="4"/>
    <n v="8.8536413153116804"/>
  </r>
  <r>
    <s v="A180"/>
    <x v="0"/>
    <d v="2025-10-11T00:00:00"/>
    <x v="3"/>
    <x v="6"/>
    <x v="6"/>
    <n v="15623"/>
    <n v="869"/>
    <n v="423"/>
    <n v="371"/>
    <n v="47579"/>
    <n v="158516"/>
    <x v="1"/>
    <n v="10.670847106916652"/>
  </r>
  <r>
    <s v="A181"/>
    <x v="2"/>
    <d v="2025-10-12T00:00:00"/>
    <x v="3"/>
    <x v="6"/>
    <x v="6"/>
    <n v="7126"/>
    <n v="484"/>
    <n v="565"/>
    <n v="573"/>
    <n v="7389"/>
    <n v="237096"/>
    <x v="1"/>
    <n v="3.4479704423524646"/>
  </r>
  <r>
    <s v="A182"/>
    <x v="0"/>
    <s v="2024-07-31"/>
    <x v="2"/>
    <x v="2"/>
    <x v="2"/>
    <n v="7122"/>
    <n v="628"/>
    <n v="757"/>
    <n v="2313"/>
    <n v="50924"/>
    <n v="210954"/>
    <x v="4"/>
    <n v="4.032632706656428"/>
  </r>
  <r>
    <s v="A183"/>
    <x v="3"/>
    <s v="2024-12-17"/>
    <x v="0"/>
    <x v="6"/>
    <x v="6"/>
    <n v="20030"/>
    <n v="485"/>
    <n v="888"/>
    <n v="1643"/>
    <n v="4322"/>
    <n v="196995"/>
    <x v="2"/>
    <n v="10.864742759968527"/>
  </r>
  <r>
    <s v="A184"/>
    <x v="0"/>
    <d v="2025-10-13T00:00:00"/>
    <x v="2"/>
    <x v="3"/>
    <x v="8"/>
    <n v="19302"/>
    <n v="1367"/>
    <n v="188"/>
    <n v="637"/>
    <n v="31404"/>
    <n v="154044"/>
    <x v="1"/>
    <n v="13.53963802549921"/>
  </r>
  <r>
    <s v="A185"/>
    <x v="2"/>
    <s v="2025-01-11"/>
    <x v="0"/>
    <x v="1"/>
    <x v="1"/>
    <n v="21181"/>
    <n v="1242"/>
    <n v="963"/>
    <n v="1689"/>
    <n v="49329"/>
    <n v="69165"/>
    <x v="0"/>
    <n v="33.811899081905587"/>
  </r>
  <r>
    <s v="A186"/>
    <x v="2"/>
    <s v="2024-08-24"/>
    <x v="2"/>
    <x v="2"/>
    <x v="2"/>
    <n v="24890"/>
    <n v="217"/>
    <n v="178"/>
    <n v="906"/>
    <n v="54826"/>
    <n v="107203"/>
    <x v="2"/>
    <n v="23.586093672751694"/>
  </r>
  <r>
    <s v="A187"/>
    <x v="3"/>
    <s v="2024-12-22"/>
    <x v="1"/>
    <x v="10"/>
    <x v="10"/>
    <n v="7870"/>
    <n v="968"/>
    <n v="626"/>
    <n v="465"/>
    <n v="27184"/>
    <n v="44114"/>
    <x v="4"/>
    <n v="21.453506823230718"/>
  </r>
  <r>
    <s v="A188"/>
    <x v="0"/>
    <s v="2024-06-06"/>
    <x v="3"/>
    <x v="10"/>
    <x v="10"/>
    <n v="3531"/>
    <n v="789"/>
    <n v="467"/>
    <n v="1867"/>
    <n v="40816"/>
    <n v="236037"/>
    <x v="2"/>
    <n v="2.0280718700881639"/>
  </r>
  <r>
    <s v="A189"/>
    <x v="0"/>
    <s v="2025-03-24"/>
    <x v="0"/>
    <x v="4"/>
    <x v="4"/>
    <n v="10172"/>
    <n v="1398"/>
    <n v="394"/>
    <n v="2358"/>
    <n v="59610"/>
    <n v="76321"/>
    <x v="3"/>
    <n v="15.675895231980713"/>
  </r>
  <r>
    <s v="A190"/>
    <x v="3"/>
    <s v="2024-10-04"/>
    <x v="0"/>
    <x v="5"/>
    <x v="5"/>
    <n v="21729"/>
    <n v="1209"/>
    <n v="897"/>
    <n v="1624"/>
    <n v="38771"/>
    <n v="113297"/>
    <x v="3"/>
    <n v="21.037626768581692"/>
  </r>
  <r>
    <s v="A191"/>
    <x v="0"/>
    <d v="2025-10-14T00:00:00"/>
    <x v="3"/>
    <x v="8"/>
    <x v="9"/>
    <n v="9673"/>
    <n v="393"/>
    <n v="846"/>
    <n v="1028"/>
    <n v="55556"/>
    <n v="136652"/>
    <x v="1"/>
    <n v="7.9852471972601942"/>
  </r>
  <r>
    <s v="A192"/>
    <x v="0"/>
    <d v="2025-10-15T00:00:00"/>
    <x v="0"/>
    <x v="6"/>
    <x v="6"/>
    <n v="8882"/>
    <n v="701"/>
    <n v="421"/>
    <n v="2343"/>
    <n v="13588"/>
    <n v="139304"/>
    <x v="1"/>
    <n v="7.1814161833113195"/>
  </r>
  <r>
    <s v="A193"/>
    <x v="2"/>
    <s v="2024-09-11"/>
    <x v="0"/>
    <x v="6"/>
    <x v="6"/>
    <n v="3906"/>
    <n v="1187"/>
    <n v="589"/>
    <n v="401"/>
    <n v="52687"/>
    <n v="196498"/>
    <x v="0"/>
    <n v="2.8916324848090058"/>
  </r>
  <r>
    <s v="A194"/>
    <x v="0"/>
    <s v="2024-10-02"/>
    <x v="2"/>
    <x v="5"/>
    <x v="5"/>
    <n v="5086"/>
    <n v="1336"/>
    <n v="897"/>
    <n v="1715"/>
    <n v="60592"/>
    <n v="57772"/>
    <x v="2"/>
    <n v="12.668766876687668"/>
  </r>
  <r>
    <s v="A195"/>
    <x v="0"/>
    <s v="2024-08-15"/>
    <x v="0"/>
    <x v="7"/>
    <x v="7"/>
    <n v="15503"/>
    <n v="313"/>
    <n v="388"/>
    <n v="1078"/>
    <n v="11500"/>
    <n v="143754"/>
    <x v="3"/>
    <n v="11.27203416948398"/>
  </r>
  <r>
    <s v="A196"/>
    <x v="3"/>
    <d v="2025-09-18T00:00:00"/>
    <x v="1"/>
    <x v="9"/>
    <x v="4"/>
    <n v="10152"/>
    <n v="1445"/>
    <n v="526"/>
    <n v="513"/>
    <n v="18959"/>
    <n v="43712"/>
    <x v="1"/>
    <n v="27.733803074670572"/>
  </r>
  <r>
    <s v="A197"/>
    <x v="3"/>
    <s v="2024-10-22"/>
    <x v="1"/>
    <x v="2"/>
    <x v="2"/>
    <n v="7750"/>
    <n v="1146"/>
    <n v="415"/>
    <n v="1411"/>
    <n v="85339"/>
    <n v="172439"/>
    <x v="2"/>
    <n v="5.3995905798572243"/>
  </r>
  <r>
    <s v="A198"/>
    <x v="1"/>
    <d v="2025-09-19T00:00:00"/>
    <x v="3"/>
    <x v="3"/>
    <x v="3"/>
    <n v="14772"/>
    <n v="1030"/>
    <n v="508"/>
    <n v="1876"/>
    <n v="8882"/>
    <n v="155142"/>
    <x v="1"/>
    <n v="10.512949426976578"/>
  </r>
  <r>
    <s v="A199"/>
    <x v="2"/>
    <d v="2025-09-20T00:00:00"/>
    <x v="0"/>
    <x v="6"/>
    <x v="6"/>
    <n v="12267"/>
    <n v="1487"/>
    <n v="489"/>
    <n v="2748"/>
    <n v="34685"/>
    <n v="131736"/>
    <x v="1"/>
    <n v="10.811775065282079"/>
  </r>
  <r>
    <s v="A200"/>
    <x v="0"/>
    <s v="2025-04-07"/>
    <x v="3"/>
    <x v="8"/>
    <x v="9"/>
    <n v="3062"/>
    <n v="1124"/>
    <n v="538"/>
    <n v="2935"/>
    <n v="69749"/>
    <n v="91924"/>
    <x v="3"/>
    <n v="5.1390278926069364"/>
  </r>
  <r>
    <s v="A201"/>
    <x v="0"/>
    <s v="2025-01-15"/>
    <x v="1"/>
    <x v="4"/>
    <x v="4"/>
    <n v="20360"/>
    <n v="254"/>
    <n v="726"/>
    <n v="1995"/>
    <n v="14280"/>
    <n v="43726"/>
    <x v="3"/>
    <n v="48.803915290673736"/>
  </r>
  <r>
    <s v="A202"/>
    <x v="1"/>
    <d v="2025-09-21T00:00:00"/>
    <x v="0"/>
    <x v="10"/>
    <x v="10"/>
    <n v="19680"/>
    <n v="999"/>
    <n v="838"/>
    <n v="891"/>
    <n v="29576"/>
    <n v="129152"/>
    <x v="1"/>
    <n v="16.660214321110008"/>
  </r>
  <r>
    <s v="A203"/>
    <x v="0"/>
    <s v="2024-11-21"/>
    <x v="0"/>
    <x v="6"/>
    <x v="6"/>
    <n v="8229"/>
    <n v="977"/>
    <n v="152"/>
    <n v="1633"/>
    <n v="71447"/>
    <n v="67723"/>
    <x v="4"/>
    <n v="13.818052950991538"/>
  </r>
  <r>
    <s v="A204"/>
    <x v="2"/>
    <d v="2025-09-22T00:00:00"/>
    <x v="3"/>
    <x v="4"/>
    <x v="4"/>
    <n v="18509"/>
    <n v="361"/>
    <n v="578"/>
    <n v="1409"/>
    <n v="10569"/>
    <n v="166969"/>
    <x v="1"/>
    <n v="11.647671124580011"/>
  </r>
  <r>
    <s v="A205"/>
    <x v="1"/>
    <d v="2025-09-23T00:00:00"/>
    <x v="1"/>
    <x v="3"/>
    <x v="8"/>
    <n v="17147"/>
    <n v="286"/>
    <n v="291"/>
    <n v="2439"/>
    <n v="45631"/>
    <n v="140494"/>
    <x v="1"/>
    <n v="12.615485358805358"/>
  </r>
  <r>
    <s v="A206"/>
    <x v="2"/>
    <s v="2024-06-24"/>
    <x v="0"/>
    <x v="3"/>
    <x v="8"/>
    <n v="6632"/>
    <n v="254"/>
    <n v="525"/>
    <n v="1013"/>
    <n v="13838"/>
    <n v="180180"/>
    <x v="0"/>
    <n v="4.1131091131091129"/>
  </r>
  <r>
    <s v="A207"/>
    <x v="1"/>
    <s v="2024-12-29"/>
    <x v="3"/>
    <x v="9"/>
    <x v="4"/>
    <n v="8288"/>
    <n v="1401"/>
    <n v="819"/>
    <n v="1235"/>
    <n v="33446"/>
    <n v="248786"/>
    <x v="0"/>
    <n v="4.2237103373984066"/>
  </r>
  <r>
    <s v="A208"/>
    <x v="1"/>
    <s v="2024-06-24"/>
    <x v="1"/>
    <x v="1"/>
    <x v="1"/>
    <n v="5596"/>
    <n v="1231"/>
    <n v="473"/>
    <n v="2251"/>
    <n v="43705"/>
    <n v="75643"/>
    <x v="0"/>
    <n v="9.6505955607260425"/>
  </r>
  <r>
    <s v="A209"/>
    <x v="3"/>
    <s v="2025-03-19"/>
    <x v="3"/>
    <x v="3"/>
    <x v="3"/>
    <n v="13475"/>
    <n v="1032"/>
    <n v="295"/>
    <n v="541"/>
    <n v="43666"/>
    <n v="202396"/>
    <x v="4"/>
    <n v="7.3133856400324122"/>
  </r>
  <r>
    <s v="A210"/>
    <x v="2"/>
    <s v="2025-02-19"/>
    <x v="2"/>
    <x v="7"/>
    <x v="7"/>
    <n v="8168"/>
    <n v="512"/>
    <n v="442"/>
    <n v="2343"/>
    <n v="2753"/>
    <n v="143896"/>
    <x v="4"/>
    <n v="6.3393006059932171"/>
  </r>
  <r>
    <s v="A211"/>
    <x v="0"/>
    <d v="2025-09-24T00:00:00"/>
    <x v="0"/>
    <x v="9"/>
    <x v="4"/>
    <n v="11795"/>
    <n v="958"/>
    <n v="814"/>
    <n v="301"/>
    <n v="12564"/>
    <n v="179999"/>
    <x v="1"/>
    <n v="7.5372640959116444"/>
  </r>
  <r>
    <s v="A212"/>
    <x v="0"/>
    <s v="2025-03-03"/>
    <x v="2"/>
    <x v="0"/>
    <x v="0"/>
    <n v="9561"/>
    <n v="642"/>
    <n v="581"/>
    <n v="2572"/>
    <n v="38552"/>
    <n v="133680"/>
    <x v="0"/>
    <n v="8.0670257330939563"/>
  </r>
  <r>
    <s v="A213"/>
    <x v="2"/>
    <s v="2025-05-01"/>
    <x v="1"/>
    <x v="7"/>
    <x v="7"/>
    <n v="10258"/>
    <n v="527"/>
    <n v="854"/>
    <n v="2068"/>
    <n v="45632"/>
    <n v="136546"/>
    <x v="4"/>
    <n v="8.5238674146441493"/>
  </r>
  <r>
    <s v="A214"/>
    <x v="0"/>
    <s v="2024-12-23"/>
    <x v="2"/>
    <x v="2"/>
    <x v="2"/>
    <n v="18616"/>
    <n v="1277"/>
    <n v="734"/>
    <n v="2249"/>
    <n v="3399"/>
    <n v="193515"/>
    <x v="3"/>
    <n v="10.659122031883832"/>
  </r>
  <r>
    <s v="A215"/>
    <x v="0"/>
    <d v="2025-09-25T00:00:00"/>
    <x v="2"/>
    <x v="8"/>
    <x v="9"/>
    <n v="8371"/>
    <n v="960"/>
    <n v="548"/>
    <n v="2936"/>
    <n v="82543"/>
    <n v="119973"/>
    <x v="1"/>
    <n v="8.2343527293641063"/>
  </r>
  <r>
    <s v="A216"/>
    <x v="2"/>
    <s v="2024-07-29"/>
    <x v="1"/>
    <x v="0"/>
    <x v="0"/>
    <n v="22590"/>
    <n v="1462"/>
    <n v="966"/>
    <n v="2463"/>
    <n v="29689"/>
    <n v="103449"/>
    <x v="2"/>
    <n v="24.183897379385012"/>
  </r>
  <r>
    <s v="A217"/>
    <x v="1"/>
    <d v="2025-09-26T00:00:00"/>
    <x v="3"/>
    <x v="0"/>
    <x v="0"/>
    <n v="16369"/>
    <n v="1452"/>
    <n v="493"/>
    <n v="1217"/>
    <n v="91440"/>
    <n v="149834"/>
    <x v="1"/>
    <n v="12.222859965027965"/>
  </r>
  <r>
    <s v="A218"/>
    <x v="2"/>
    <s v="2024-06-11"/>
    <x v="2"/>
    <x v="9"/>
    <x v="4"/>
    <n v="14910"/>
    <n v="778"/>
    <n v="289"/>
    <n v="2541"/>
    <n v="14309"/>
    <n v="247815"/>
    <x v="2"/>
    <n v="6.4471480741682292"/>
  </r>
  <r>
    <s v="A219"/>
    <x v="1"/>
    <s v="2025-01-28"/>
    <x v="3"/>
    <x v="5"/>
    <x v="5"/>
    <n v="9943"/>
    <n v="1274"/>
    <n v="336"/>
    <n v="389"/>
    <n v="6145"/>
    <n v="231305"/>
    <x v="0"/>
    <n v="4.994703962300858"/>
  </r>
  <r>
    <s v="A220"/>
    <x v="0"/>
    <s v="2024-06-02"/>
    <x v="2"/>
    <x v="1"/>
    <x v="1"/>
    <n v="14199"/>
    <n v="1206"/>
    <n v="954"/>
    <n v="2009"/>
    <n v="8"/>
    <n v="65537"/>
    <x v="2"/>
    <n v="24.961472145505592"/>
  </r>
  <r>
    <s v="A221"/>
    <x v="0"/>
    <s v="2025-03-23"/>
    <x v="3"/>
    <x v="5"/>
    <x v="5"/>
    <n v="17728"/>
    <n v="1487"/>
    <n v="210"/>
    <n v="2469"/>
    <n v="30565"/>
    <n v="117576"/>
    <x v="0"/>
    <n v="16.521228822208613"/>
  </r>
  <r>
    <s v="A222"/>
    <x v="0"/>
    <s v="2024-10-08"/>
    <x v="1"/>
    <x v="9"/>
    <x v="4"/>
    <n v="8738"/>
    <n v="295"/>
    <n v="529"/>
    <n v="442"/>
    <n v="25286"/>
    <n v="147522"/>
    <x v="3"/>
    <n v="6.4817450956467511"/>
  </r>
  <r>
    <s v="A223"/>
    <x v="3"/>
    <s v="2024-11-12"/>
    <x v="2"/>
    <x v="2"/>
    <x v="2"/>
    <n v="17913"/>
    <n v="1311"/>
    <n v="859"/>
    <n v="405"/>
    <n v="59842"/>
    <n v="62612"/>
    <x v="2"/>
    <n v="32.075321024723699"/>
  </r>
  <r>
    <s v="A224"/>
    <x v="1"/>
    <d v="2025-09-07T00:00:00"/>
    <x v="1"/>
    <x v="10"/>
    <x v="10"/>
    <n v="4472"/>
    <n v="1301"/>
    <n v="956"/>
    <n v="1186"/>
    <n v="3363"/>
    <n v="46471"/>
    <x v="1"/>
    <n v="14.479998278496268"/>
  </r>
  <r>
    <s v="A225"/>
    <x v="3"/>
    <s v="2024-06-20"/>
    <x v="2"/>
    <x v="6"/>
    <x v="6"/>
    <n v="21123"/>
    <n v="1343"/>
    <n v="589"/>
    <n v="727"/>
    <n v="87833"/>
    <n v="206703"/>
    <x v="0"/>
    <n v="11.153684271636116"/>
  </r>
  <r>
    <s v="A226"/>
    <x v="3"/>
    <d v="2025-09-08T00:00:00"/>
    <x v="1"/>
    <x v="6"/>
    <x v="6"/>
    <n v="23785"/>
    <n v="1013"/>
    <n v="468"/>
    <n v="1628"/>
    <n v="8272"/>
    <n v="71348"/>
    <x v="1"/>
    <n v="35.412345125301343"/>
  </r>
  <r>
    <s v="A227"/>
    <x v="2"/>
    <s v="2024-06-12"/>
    <x v="1"/>
    <x v="1"/>
    <x v="1"/>
    <n v="17679"/>
    <n v="690"/>
    <n v="451"/>
    <n v="2195"/>
    <n v="4390"/>
    <n v="235804"/>
    <x v="4"/>
    <n v="7.9812047293514956"/>
  </r>
  <r>
    <s v="A228"/>
    <x v="3"/>
    <s v="2024-07-01"/>
    <x v="2"/>
    <x v="2"/>
    <x v="2"/>
    <n v="3761"/>
    <n v="651"/>
    <n v="493"/>
    <n v="2294"/>
    <n v="71696"/>
    <n v="41177"/>
    <x v="0"/>
    <n v="11.911989702989532"/>
  </r>
  <r>
    <s v="A229"/>
    <x v="2"/>
    <s v="2024-07-03"/>
    <x v="2"/>
    <x v="1"/>
    <x v="1"/>
    <n v="12167"/>
    <n v="364"/>
    <n v="160"/>
    <n v="616"/>
    <n v="42228"/>
    <n v="175832"/>
    <x v="2"/>
    <n v="7.217685063014696"/>
  </r>
  <r>
    <s v="A230"/>
    <x v="2"/>
    <s v="2024-07-15"/>
    <x v="2"/>
    <x v="4"/>
    <x v="4"/>
    <n v="12554"/>
    <n v="381"/>
    <n v="211"/>
    <n v="2286"/>
    <n v="50567"/>
    <n v="72779"/>
    <x v="0"/>
    <n v="18.062902760411657"/>
  </r>
  <r>
    <s v="A231"/>
    <x v="3"/>
    <d v="2025-09-09T00:00:00"/>
    <x v="0"/>
    <x v="5"/>
    <x v="5"/>
    <n v="19260"/>
    <n v="668"/>
    <n v="994"/>
    <n v="934"/>
    <n v="20509"/>
    <n v="61636"/>
    <x v="1"/>
    <n v="33.944448049841"/>
  </r>
  <r>
    <s v="A232"/>
    <x v="1"/>
    <s v="2025-04-29"/>
    <x v="3"/>
    <x v="6"/>
    <x v="6"/>
    <n v="16277"/>
    <n v="1109"/>
    <n v="375"/>
    <n v="2225"/>
    <n v="1044"/>
    <n v="121889"/>
    <x v="3"/>
    <n v="14.571454356012437"/>
  </r>
  <r>
    <s v="A233"/>
    <x v="1"/>
    <s v="2025-03-08"/>
    <x v="0"/>
    <x v="0"/>
    <x v="0"/>
    <n v="5812"/>
    <n v="934"/>
    <n v="302"/>
    <n v="2356"/>
    <n v="37437"/>
    <n v="93551"/>
    <x v="0"/>
    <n v="7.5338585370546554"/>
  </r>
  <r>
    <s v="A234"/>
    <x v="1"/>
    <s v="2024-06-01"/>
    <x v="0"/>
    <x v="5"/>
    <x v="5"/>
    <n v="19844"/>
    <n v="1022"/>
    <n v="860"/>
    <n v="2570"/>
    <n v="23719"/>
    <n v="182628"/>
    <x v="2"/>
    <n v="11.896313818253498"/>
  </r>
  <r>
    <s v="A235"/>
    <x v="1"/>
    <s v="2024-12-22"/>
    <x v="1"/>
    <x v="3"/>
    <x v="3"/>
    <n v="20117"/>
    <n v="1143"/>
    <n v="713"/>
    <n v="1739"/>
    <n v="34444"/>
    <n v="198670"/>
    <x v="4"/>
    <n v="11.060049328031409"/>
  </r>
  <r>
    <s v="A236"/>
    <x v="1"/>
    <s v="2024-08-19"/>
    <x v="2"/>
    <x v="8"/>
    <x v="9"/>
    <n v="3605"/>
    <n v="206"/>
    <n v="921"/>
    <n v="852"/>
    <n v="11660"/>
    <n v="182635"/>
    <x v="3"/>
    <n v="2.590960111698196"/>
  </r>
  <r>
    <s v="A237"/>
    <x v="3"/>
    <s v="2024-10-22"/>
    <x v="3"/>
    <x v="2"/>
    <x v="2"/>
    <n v="7622"/>
    <n v="529"/>
    <n v="720"/>
    <n v="1015"/>
    <n v="71322"/>
    <n v="86819"/>
    <x v="4"/>
    <n v="10.217809465669957"/>
  </r>
  <r>
    <s v="A238"/>
    <x v="3"/>
    <s v="2024-07-16"/>
    <x v="1"/>
    <x v="7"/>
    <x v="7"/>
    <n v="8767"/>
    <n v="974"/>
    <n v="733"/>
    <n v="1587"/>
    <n v="74927"/>
    <n v="113770"/>
    <x v="0"/>
    <n v="9.2062933989628206"/>
  </r>
  <r>
    <s v="A239"/>
    <x v="0"/>
    <d v="2025-09-10T00:00:00"/>
    <x v="0"/>
    <x v="1"/>
    <x v="1"/>
    <n v="13613"/>
    <n v="350"/>
    <n v="809"/>
    <n v="2013"/>
    <n v="20471"/>
    <n v="198038"/>
    <x v="1"/>
    <n v="7.4591745018632789"/>
  </r>
  <r>
    <s v="A240"/>
    <x v="1"/>
    <d v="2025-09-11T00:00:00"/>
    <x v="2"/>
    <x v="5"/>
    <x v="5"/>
    <n v="21901"/>
    <n v="1308"/>
    <n v="724"/>
    <n v="2183"/>
    <n v="15996"/>
    <n v="230961"/>
    <x v="1"/>
    <n v="10.362355549205276"/>
  </r>
  <r>
    <s v="A241"/>
    <x v="3"/>
    <s v="2025-01-18"/>
    <x v="1"/>
    <x v="8"/>
    <x v="9"/>
    <n v="12589"/>
    <n v="346"/>
    <n v="459"/>
    <n v="1407"/>
    <n v="29254"/>
    <n v="198059"/>
    <x v="2"/>
    <n v="6.7626313371268161"/>
  </r>
  <r>
    <s v="A242"/>
    <x v="0"/>
    <d v="2025-09-12T00:00:00"/>
    <x v="2"/>
    <x v="5"/>
    <x v="5"/>
    <n v="15918"/>
    <n v="1114"/>
    <n v="392"/>
    <n v="1641"/>
    <n v="28044"/>
    <n v="118714"/>
    <x v="1"/>
    <n v="14.677291642097815"/>
  </r>
  <r>
    <s v="A243"/>
    <x v="1"/>
    <s v="2025-03-06"/>
    <x v="1"/>
    <x v="7"/>
    <x v="7"/>
    <n v="22119"/>
    <n v="899"/>
    <n v="642"/>
    <n v="410"/>
    <n v="49490"/>
    <n v="229420"/>
    <x v="3"/>
    <n v="10.312963124400662"/>
  </r>
  <r>
    <s v="A244"/>
    <x v="2"/>
    <d v="2025-09-13T00:00:00"/>
    <x v="2"/>
    <x v="8"/>
    <x v="9"/>
    <n v="15046"/>
    <n v="281"/>
    <n v="515"/>
    <n v="550"/>
    <n v="22583"/>
    <n v="64596"/>
    <x v="1"/>
    <n v="24.524738373893122"/>
  </r>
  <r>
    <s v="A245"/>
    <x v="0"/>
    <s v="2025-01-12"/>
    <x v="0"/>
    <x v="3"/>
    <x v="3"/>
    <n v="4590"/>
    <n v="713"/>
    <n v="479"/>
    <n v="2730"/>
    <n v="41050"/>
    <n v="204246"/>
    <x v="2"/>
    <n v="2.8308999931455205"/>
  </r>
  <r>
    <s v="A246"/>
    <x v="3"/>
    <s v="2024-10-11"/>
    <x v="3"/>
    <x v="7"/>
    <x v="7"/>
    <n v="19447"/>
    <n v="1014"/>
    <n v="256"/>
    <n v="2354"/>
    <n v="5472"/>
    <n v="104106"/>
    <x v="0"/>
    <n v="19.899909707413599"/>
  </r>
  <r>
    <s v="A247"/>
    <x v="2"/>
    <s v="2024-08-27"/>
    <x v="0"/>
    <x v="9"/>
    <x v="4"/>
    <n v="6324"/>
    <n v="908"/>
    <n v="375"/>
    <n v="758"/>
    <n v="34850"/>
    <n v="241039"/>
    <x v="0"/>
    <n v="3.1559208260903837"/>
  </r>
  <r>
    <s v="A248"/>
    <x v="2"/>
    <d v="2025-09-14T00:00:00"/>
    <x v="3"/>
    <x v="3"/>
    <x v="8"/>
    <n v="12787"/>
    <n v="945"/>
    <n v="974"/>
    <n v="1407"/>
    <n v="4037"/>
    <n v="99182"/>
    <x v="1"/>
    <n v="14.827287209372669"/>
  </r>
  <r>
    <s v="A249"/>
    <x v="2"/>
    <s v="2024-07-18"/>
    <x v="2"/>
    <x v="9"/>
    <x v="4"/>
    <n v="11111"/>
    <n v="1222"/>
    <n v="367"/>
    <n v="507"/>
    <n v="14129"/>
    <n v="127163"/>
    <x v="4"/>
    <n v="9.9871818060284827"/>
  </r>
  <r>
    <s v="A250"/>
    <x v="0"/>
    <s v="2024-06-22"/>
    <x v="1"/>
    <x v="6"/>
    <x v="6"/>
    <n v="7342"/>
    <n v="906"/>
    <n v="902"/>
    <n v="1199"/>
    <n v="68488"/>
    <n v="79310"/>
    <x v="0"/>
    <n v="11.537006682637751"/>
  </r>
  <r>
    <s v="A251"/>
    <x v="3"/>
    <d v="2025-09-15T00:00:00"/>
    <x v="0"/>
    <x v="5"/>
    <x v="5"/>
    <n v="18389"/>
    <n v="670"/>
    <n v="655"/>
    <n v="321"/>
    <n v="21869"/>
    <n v="96088"/>
    <x v="1"/>
    <n v="20.516609774373489"/>
  </r>
  <r>
    <s v="A252"/>
    <x v="2"/>
    <s v="2025-04-28"/>
    <x v="3"/>
    <x v="3"/>
    <x v="8"/>
    <n v="10659"/>
    <n v="1342"/>
    <n v="408"/>
    <n v="709"/>
    <n v="16309"/>
    <n v="168803"/>
    <x v="2"/>
    <n v="7.3511726687321906"/>
  </r>
  <r>
    <s v="A253"/>
    <x v="1"/>
    <d v="2025-09-16T00:00:00"/>
    <x v="0"/>
    <x v="9"/>
    <x v="4"/>
    <n v="16043"/>
    <n v="595"/>
    <n v="923"/>
    <n v="1194"/>
    <n v="52613"/>
    <n v="179978"/>
    <x v="1"/>
    <n v="9.7573036704486107"/>
  </r>
  <r>
    <s v="A254"/>
    <x v="2"/>
    <s v="2025-01-14"/>
    <x v="3"/>
    <x v="3"/>
    <x v="8"/>
    <n v="24350"/>
    <n v="460"/>
    <n v="666"/>
    <n v="814"/>
    <n v="21120"/>
    <n v="76914"/>
    <x v="0"/>
    <n v="33.12270847960059"/>
  </r>
  <r>
    <s v="A255"/>
    <x v="2"/>
    <s v="2025-04-03"/>
    <x v="0"/>
    <x v="10"/>
    <x v="10"/>
    <n v="10837"/>
    <n v="1004"/>
    <n v="922"/>
    <n v="1108"/>
    <n v="36807"/>
    <n v="150350"/>
    <x v="2"/>
    <n v="8.4888593282341205"/>
  </r>
  <r>
    <s v="A256"/>
    <x v="0"/>
    <d v="2025-09-17T00:00:00"/>
    <x v="3"/>
    <x v="5"/>
    <x v="5"/>
    <n v="2117"/>
    <n v="1133"/>
    <n v="203"/>
    <n v="1173"/>
    <n v="40125"/>
    <n v="85379"/>
    <x v="1"/>
    <n v="4.0443200318579509"/>
  </r>
  <r>
    <s v="A257"/>
    <x v="0"/>
    <s v="2025-04-06"/>
    <x v="3"/>
    <x v="3"/>
    <x v="8"/>
    <n v="15917"/>
    <n v="1479"/>
    <n v="196"/>
    <n v="313"/>
    <n v="48524"/>
    <n v="249684"/>
    <x v="3"/>
    <n v="7.0457057720959293"/>
  </r>
  <r>
    <s v="A258"/>
    <x v="3"/>
    <s v="2024-08-05"/>
    <x v="2"/>
    <x v="0"/>
    <x v="0"/>
    <n v="20935"/>
    <n v="1104"/>
    <n v="876"/>
    <n v="1270"/>
    <n v="21454"/>
    <n v="208722"/>
    <x v="2"/>
    <n v="10.978718103506099"/>
  </r>
  <r>
    <s v="A259"/>
    <x v="1"/>
    <s v="2025-02-10"/>
    <x v="3"/>
    <x v="1"/>
    <x v="1"/>
    <n v="16309"/>
    <n v="1449"/>
    <n v="838"/>
    <n v="2434"/>
    <n v="2940"/>
    <n v="217953"/>
    <x v="3"/>
    <n v="8.532114721981344"/>
  </r>
  <r>
    <s v="A260"/>
    <x v="0"/>
    <s v="2025-02-12"/>
    <x v="2"/>
    <x v="1"/>
    <x v="1"/>
    <n v="15234"/>
    <n v="1276"/>
    <n v="670"/>
    <n v="1860"/>
    <n v="60397"/>
    <n v="86413"/>
    <x v="4"/>
    <n v="19.881267864788864"/>
  </r>
  <r>
    <s v="A261"/>
    <x v="2"/>
    <s v="2024-10-27"/>
    <x v="3"/>
    <x v="0"/>
    <x v="0"/>
    <n v="7560"/>
    <n v="1139"/>
    <n v="248"/>
    <n v="1624"/>
    <n v="72237"/>
    <n v="177084"/>
    <x v="2"/>
    <n v="5.0524045085947913"/>
  </r>
  <r>
    <s v="A262"/>
    <x v="3"/>
    <s v="2025-01-18"/>
    <x v="1"/>
    <x v="8"/>
    <x v="9"/>
    <n v="22673"/>
    <n v="1053"/>
    <n v="169"/>
    <n v="1566"/>
    <n v="9417"/>
    <n v="221187"/>
    <x v="3"/>
    <n v="10.803076130152315"/>
  </r>
  <r>
    <s v="A263"/>
    <x v="2"/>
    <s v="2024-08-20"/>
    <x v="1"/>
    <x v="4"/>
    <x v="4"/>
    <n v="2846"/>
    <n v="792"/>
    <n v="902"/>
    <n v="2469"/>
    <n v="12130"/>
    <n v="47151"/>
    <x v="0"/>
    <n v="9.628639901592754"/>
  </r>
  <r>
    <s v="A264"/>
    <x v="2"/>
    <s v="2025-01-30"/>
    <x v="1"/>
    <x v="8"/>
    <x v="9"/>
    <n v="12954"/>
    <n v="913"/>
    <n v="722"/>
    <n v="1049"/>
    <n v="475"/>
    <n v="97716"/>
    <x v="0"/>
    <n v="14.930001228048631"/>
  </r>
  <r>
    <s v="A265"/>
    <x v="0"/>
    <s v="2025-02-20"/>
    <x v="3"/>
    <x v="7"/>
    <x v="7"/>
    <n v="15703"/>
    <n v="1381"/>
    <n v="639"/>
    <n v="984"/>
    <n v="10967"/>
    <n v="133747"/>
    <x v="4"/>
    <n v="13.251138343289941"/>
  </r>
  <r>
    <s v="A266"/>
    <x v="3"/>
    <s v="2024-11-25"/>
    <x v="2"/>
    <x v="7"/>
    <x v="7"/>
    <n v="17385"/>
    <n v="831"/>
    <n v="568"/>
    <n v="2227"/>
    <n v="49351"/>
    <n v="207450"/>
    <x v="2"/>
    <n v="9.0547119787900705"/>
  </r>
  <r>
    <s v="A267"/>
    <x v="1"/>
    <s v="2024-10-04"/>
    <x v="2"/>
    <x v="3"/>
    <x v="8"/>
    <n v="15746"/>
    <n v="258"/>
    <n v="839"/>
    <n v="2656"/>
    <n v="66614"/>
    <n v="213724"/>
    <x v="2"/>
    <n v="7.8807246729426739"/>
  </r>
  <r>
    <s v="A268"/>
    <x v="1"/>
    <s v="2025-04-13"/>
    <x v="3"/>
    <x v="9"/>
    <x v="4"/>
    <n v="24700"/>
    <n v="327"/>
    <n v="999"/>
    <n v="994"/>
    <n v="59400"/>
    <n v="243502"/>
    <x v="2"/>
    <n v="10.688207899729777"/>
  </r>
  <r>
    <s v="A269"/>
    <x v="0"/>
    <s v="2024-11-05"/>
    <x v="1"/>
    <x v="9"/>
    <x v="4"/>
    <n v="8469"/>
    <n v="935"/>
    <n v="211"/>
    <n v="2635"/>
    <n v="21890"/>
    <n v="184539"/>
    <x v="4"/>
    <n v="5.2102807536618281"/>
  </r>
  <r>
    <s v="A270"/>
    <x v="0"/>
    <s v="2025-01-15"/>
    <x v="1"/>
    <x v="1"/>
    <x v="1"/>
    <n v="11333"/>
    <n v="920"/>
    <n v="294"/>
    <n v="606"/>
    <n v="59490"/>
    <n v="202082"/>
    <x v="2"/>
    <n v="6.2088657079799292"/>
  </r>
  <r>
    <s v="A271"/>
    <x v="3"/>
    <s v="2024-10-17"/>
    <x v="2"/>
    <x v="2"/>
    <x v="2"/>
    <n v="18608"/>
    <n v="1338"/>
    <n v="365"/>
    <n v="2289"/>
    <n v="20785"/>
    <n v="161999"/>
    <x v="0"/>
    <n v="12.537731714393299"/>
  </r>
  <r>
    <s v="A272"/>
    <x v="1"/>
    <s v="2025-03-27"/>
    <x v="1"/>
    <x v="8"/>
    <x v="9"/>
    <n v="14819"/>
    <n v="1432"/>
    <n v="152"/>
    <n v="961"/>
    <n v="39154"/>
    <n v="154793"/>
    <x v="3"/>
    <n v="10.596732410380314"/>
  </r>
  <r>
    <s v="A273"/>
    <x v="1"/>
    <s v="2024-10-12"/>
    <x v="0"/>
    <x v="10"/>
    <x v="10"/>
    <n v="6208"/>
    <n v="725"/>
    <n v="309"/>
    <n v="848"/>
    <n v="39319"/>
    <n v="225763"/>
    <x v="0"/>
    <n v="3.207788698768177"/>
  </r>
  <r>
    <s v="A274"/>
    <x v="1"/>
    <s v="2025-01-01"/>
    <x v="2"/>
    <x v="5"/>
    <x v="5"/>
    <n v="8283"/>
    <n v="720"/>
    <n v="888"/>
    <n v="611"/>
    <n v="52791"/>
    <n v="235229"/>
    <x v="0"/>
    <n v="4.2048386891072109"/>
  </r>
  <r>
    <s v="A275"/>
    <x v="2"/>
    <s v="2024-08-05"/>
    <x v="1"/>
    <x v="6"/>
    <x v="6"/>
    <n v="4048"/>
    <n v="751"/>
    <n v="930"/>
    <n v="1382"/>
    <n v="16844"/>
    <n v="148177"/>
    <x v="3"/>
    <n v="3.8663220337839208"/>
  </r>
  <r>
    <s v="A276"/>
    <x v="1"/>
    <s v="2024-06-07"/>
    <x v="2"/>
    <x v="3"/>
    <x v="3"/>
    <n v="8233"/>
    <n v="436"/>
    <n v="269"/>
    <n v="2037"/>
    <n v="8875"/>
    <n v="52289"/>
    <x v="0"/>
    <n v="17.093461339861157"/>
  </r>
  <r>
    <s v="A277"/>
    <x v="2"/>
    <s v="2025-04-06"/>
    <x v="0"/>
    <x v="9"/>
    <x v="4"/>
    <n v="14941"/>
    <n v="1424"/>
    <n v="238"/>
    <n v="1054"/>
    <n v="20516"/>
    <n v="216048"/>
    <x v="4"/>
    <n v="7.6848663260016297"/>
  </r>
  <r>
    <s v="A278"/>
    <x v="3"/>
    <s v="2024-11-26"/>
    <x v="2"/>
    <x v="5"/>
    <x v="5"/>
    <n v="14607"/>
    <n v="1458"/>
    <n v="478"/>
    <n v="334"/>
    <n v="49257"/>
    <n v="214668"/>
    <x v="3"/>
    <n v="7.7063185942944452"/>
  </r>
  <r>
    <s v="A279"/>
    <x v="2"/>
    <s v="2024-09-02"/>
    <x v="2"/>
    <x v="3"/>
    <x v="3"/>
    <n v="11765"/>
    <n v="693"/>
    <n v="729"/>
    <n v="744"/>
    <n v="97772"/>
    <n v="194243"/>
    <x v="0"/>
    <n v="6.7889190344053576"/>
  </r>
  <r>
    <s v="A280"/>
    <x v="3"/>
    <d v="2025-09-18T00:00:00"/>
    <x v="2"/>
    <x v="5"/>
    <x v="5"/>
    <n v="3828"/>
    <n v="203"/>
    <n v="506"/>
    <n v="2440"/>
    <n v="63650"/>
    <n v="126365"/>
    <x v="1"/>
    <n v="3.5903929094290348"/>
  </r>
  <r>
    <s v="A281"/>
    <x v="1"/>
    <s v="2025-03-22"/>
    <x v="2"/>
    <x v="3"/>
    <x v="8"/>
    <n v="3917"/>
    <n v="865"/>
    <n v="759"/>
    <n v="2282"/>
    <n v="56125"/>
    <n v="154014"/>
    <x v="0"/>
    <n v="3.5977248821535706"/>
  </r>
  <r>
    <s v="A282"/>
    <x v="1"/>
    <s v="2024-10-03"/>
    <x v="0"/>
    <x v="3"/>
    <x v="3"/>
    <n v="22618"/>
    <n v="641"/>
    <n v="416"/>
    <n v="1530"/>
    <n v="18395"/>
    <n v="215211"/>
    <x v="4"/>
    <n v="11.000831741871931"/>
  </r>
  <r>
    <s v="A283"/>
    <x v="3"/>
    <s v="2025-05-09"/>
    <x v="3"/>
    <x v="6"/>
    <x v="6"/>
    <n v="8988"/>
    <n v="228"/>
    <n v="766"/>
    <n v="652"/>
    <n v="63789"/>
    <n v="219785"/>
    <x v="2"/>
    <n v="4.5417112177810131"/>
  </r>
  <r>
    <s v="A284"/>
    <x v="0"/>
    <s v="2024-09-17"/>
    <x v="2"/>
    <x v="5"/>
    <x v="5"/>
    <n v="20410"/>
    <n v="1332"/>
    <n v="472"/>
    <n v="1202"/>
    <n v="9418"/>
    <n v="200806"/>
    <x v="0"/>
    <n v="11.062418453631864"/>
  </r>
  <r>
    <s v="A285"/>
    <x v="3"/>
    <s v="2024-07-18"/>
    <x v="2"/>
    <x v="0"/>
    <x v="0"/>
    <n v="16594"/>
    <n v="809"/>
    <n v="784"/>
    <n v="1655"/>
    <n v="35505"/>
    <n v="112588"/>
    <x v="2"/>
    <n v="16.153586527871532"/>
  </r>
  <r>
    <s v="A286"/>
    <x v="0"/>
    <d v="2025-09-19T00:00:00"/>
    <x v="1"/>
    <x v="6"/>
    <x v="6"/>
    <n v="22128"/>
    <n v="1004"/>
    <n v="690"/>
    <n v="2048"/>
    <n v="19443"/>
    <n v="103646"/>
    <x v="1"/>
    <n v="22.984003241803833"/>
  </r>
  <r>
    <s v="A287"/>
    <x v="2"/>
    <s v="2024-08-15"/>
    <x v="2"/>
    <x v="3"/>
    <x v="3"/>
    <n v="14977"/>
    <n v="274"/>
    <n v="798"/>
    <n v="458"/>
    <n v="6636"/>
    <n v="43654"/>
    <x v="0"/>
    <n v="36.76409950978146"/>
  </r>
  <r>
    <s v="A288"/>
    <x v="2"/>
    <s v="2025-04-17"/>
    <x v="1"/>
    <x v="6"/>
    <x v="6"/>
    <n v="2009"/>
    <n v="1037"/>
    <n v="344"/>
    <n v="2277"/>
    <n v="85743"/>
    <n v="58743"/>
    <x v="3"/>
    <n v="5.7709003625963939"/>
  </r>
  <r>
    <s v="A289"/>
    <x v="2"/>
    <s v="2024-11-28"/>
    <x v="3"/>
    <x v="5"/>
    <x v="5"/>
    <n v="18644"/>
    <n v="1369"/>
    <n v="887"/>
    <n v="1256"/>
    <n v="43415"/>
    <n v="88368"/>
    <x v="2"/>
    <n v="23.651095419156256"/>
  </r>
  <r>
    <s v="A290"/>
    <x v="1"/>
    <d v="2025-09-20T00:00:00"/>
    <x v="0"/>
    <x v="4"/>
    <x v="4"/>
    <n v="24422"/>
    <n v="327"/>
    <n v="481"/>
    <n v="2371"/>
    <n v="35340"/>
    <n v="245244"/>
    <x v="1"/>
    <n v="10.287713460879777"/>
  </r>
  <r>
    <s v="A291"/>
    <x v="2"/>
    <s v="2024-11-06"/>
    <x v="0"/>
    <x v="5"/>
    <x v="5"/>
    <n v="11865"/>
    <n v="241"/>
    <n v="319"/>
    <n v="703"/>
    <n v="69596"/>
    <n v="177513"/>
    <x v="3"/>
    <n v="6.9994873614890176"/>
  </r>
  <r>
    <s v="A292"/>
    <x v="0"/>
    <s v="2024-11-17"/>
    <x v="3"/>
    <x v="5"/>
    <x v="5"/>
    <n v="4219"/>
    <n v="240"/>
    <n v="670"/>
    <n v="815"/>
    <n v="11978"/>
    <n v="159735"/>
    <x v="3"/>
    <n v="3.2109431245500355"/>
  </r>
  <r>
    <s v="A293"/>
    <x v="2"/>
    <s v="2025-05-14"/>
    <x v="0"/>
    <x v="3"/>
    <x v="8"/>
    <n v="9041"/>
    <n v="1133"/>
    <n v="612"/>
    <n v="1687"/>
    <n v="28102"/>
    <n v="195683"/>
    <x v="3"/>
    <n v="5.51197600200324"/>
  </r>
  <r>
    <s v="A294"/>
    <x v="3"/>
    <s v="2024-06-19"/>
    <x v="3"/>
    <x v="8"/>
    <x v="9"/>
    <n v="20444"/>
    <n v="233"/>
    <n v="189"/>
    <n v="2879"/>
    <n v="28185"/>
    <n v="159891"/>
    <x v="3"/>
    <n v="13.050140408153055"/>
  </r>
  <r>
    <s v="A295"/>
    <x v="3"/>
    <s v="2025-05-06"/>
    <x v="3"/>
    <x v="0"/>
    <x v="0"/>
    <n v="7287"/>
    <n v="1240"/>
    <n v="686"/>
    <n v="1255"/>
    <n v="15403"/>
    <n v="147971"/>
    <x v="0"/>
    <n v="6.2262200025680707"/>
  </r>
  <r>
    <s v="A296"/>
    <x v="1"/>
    <s v="2025-02-11"/>
    <x v="3"/>
    <x v="10"/>
    <x v="10"/>
    <n v="3619"/>
    <n v="1376"/>
    <n v="410"/>
    <n v="2499"/>
    <n v="58146"/>
    <n v="52149"/>
    <x v="0"/>
    <n v="10.364532397553166"/>
  </r>
  <r>
    <s v="A297"/>
    <x v="3"/>
    <s v="2024-12-24"/>
    <x v="0"/>
    <x v="9"/>
    <x v="4"/>
    <n v="10512"/>
    <n v="1197"/>
    <n v="544"/>
    <n v="2012"/>
    <n v="10245"/>
    <n v="140102"/>
    <x v="0"/>
    <n v="8.7457709383163689"/>
  </r>
  <r>
    <s v="A298"/>
    <x v="0"/>
    <d v="2025-09-24T00:00:00"/>
    <x v="1"/>
    <x v="7"/>
    <x v="7"/>
    <n v="3342"/>
    <n v="787"/>
    <n v="375"/>
    <n v="907"/>
    <n v="85823"/>
    <n v="99189"/>
    <x v="1"/>
    <n v="4.5408260996683101"/>
  </r>
  <r>
    <s v="A299"/>
    <x v="2"/>
    <d v="2025-09-25T00:00:00"/>
    <x v="3"/>
    <x v="8"/>
    <x v="9"/>
    <n v="12568"/>
    <n v="541"/>
    <n v="273"/>
    <n v="2767"/>
    <n v="22331"/>
    <n v="192747"/>
    <x v="1"/>
    <n v="6.9427799135654515"/>
  </r>
  <r>
    <s v="A300"/>
    <x v="1"/>
    <d v="2025-09-26T00:00:00"/>
    <x v="2"/>
    <x v="7"/>
    <x v="7"/>
    <n v="21216"/>
    <n v="226"/>
    <n v="187"/>
    <n v="1573"/>
    <n v="62688"/>
    <n v="111031"/>
    <x v="1"/>
    <n v="19.480145184678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s v="2024-06-03"/>
    <x v="0"/>
    <n v="4138"/>
    <n v="361"/>
    <n v="103777"/>
    <n v="56.637790647253247"/>
    <n v="0.5663779064725325"/>
    <n v="23944"/>
  </r>
  <r>
    <s v="2024-06-03"/>
    <x v="1"/>
    <n v="8693"/>
    <n v="1261"/>
    <n v="111209"/>
    <n v="69.475492091467416"/>
    <n v="0.69475492091467417"/>
    <n v="29873"/>
  </r>
  <r>
    <s v="2024-06-03"/>
    <x v="2"/>
    <n v="9264"/>
    <n v="1141"/>
    <n v="119332"/>
    <n v="92.312204605638044"/>
    <n v="0.92312204605638049"/>
    <n v="50372"/>
  </r>
  <r>
    <s v="2024-06-10"/>
    <x v="0"/>
    <n v="7721"/>
    <n v="506"/>
    <n v="134418"/>
    <n v="35.577824398518047"/>
    <n v="0.35577824398518049"/>
    <n v="25379"/>
  </r>
  <r>
    <s v="2024-06-10"/>
    <x v="2"/>
    <n v="8002"/>
    <n v="524"/>
    <n v="141896"/>
    <n v="52.064892597395271"/>
    <n v="0.52064892597395274"/>
    <n v="46751"/>
  </r>
  <r>
    <s v="2024-06-10"/>
    <x v="1"/>
    <n v="5225"/>
    <n v="291"/>
    <n v="146830"/>
    <n v="19.551862698358651"/>
    <n v="0.19551862698358652"/>
    <n v="44546"/>
  </r>
  <r>
    <s v="2024-06-17"/>
    <x v="0"/>
    <n v="8373"/>
    <n v="921"/>
    <n v="157717"/>
    <n v="12.2263294381709"/>
    <n v="0.12226329438170901"/>
    <n v="15110"/>
  </r>
  <r>
    <s v="2024-06-17"/>
    <x v="1"/>
    <n v="6907"/>
    <n v="834"/>
    <n v="163790"/>
    <n v="54.158984064961238"/>
    <n v="0.54158984064961235"/>
    <n v="22087"/>
  </r>
  <r>
    <s v="2024-06-17"/>
    <x v="3"/>
    <n v="7097"/>
    <n v="369"/>
    <n v="170518"/>
    <n v="9.2506362964613711"/>
    <n v="9.2506362964613717E-2"/>
    <n v="33762"/>
  </r>
  <r>
    <s v="2024-06-24"/>
    <x v="1"/>
    <n v="9984"/>
    <n v="1330"/>
    <n v="184850"/>
    <n v="57.524479307546663"/>
    <n v="0.57524479307546661"/>
    <n v="44947"/>
  </r>
  <r>
    <s v="2024-06-24"/>
    <x v="0"/>
    <n v="5259"/>
    <n v="374"/>
    <n v="189735"/>
    <n v="14.827522597306769"/>
    <n v="0.14827522597306769"/>
    <n v="19596"/>
  </r>
  <r>
    <s v="2024-06-24"/>
    <x v="2"/>
    <n v="9286"/>
    <n v="633"/>
    <n v="198388"/>
    <n v="5.4343004617214756"/>
    <n v="5.4343004617214759E-2"/>
    <n v="48019"/>
  </r>
  <r>
    <s v="2024-07-01"/>
    <x v="3"/>
    <n v="5917"/>
    <n v="475"/>
    <n v="210260"/>
    <n v="17.894035955483691"/>
    <n v="0.17894035955483692"/>
    <n v="28313"/>
  </r>
  <r>
    <s v="2024-07-01"/>
    <x v="1"/>
    <n v="9429"/>
    <n v="966"/>
    <n v="218723"/>
    <n v="7.6914636320825887"/>
    <n v="7.6914636320825888E-2"/>
    <n v="57639"/>
  </r>
  <r>
    <s v="2024-07-01"/>
    <x v="0"/>
    <n v="3530"/>
    <n v="328"/>
    <n v="221925"/>
    <n v="12.8372197814577"/>
    <n v="0.12837219781457698"/>
    <n v="11013"/>
  </r>
  <r>
    <s v="2024-07-08"/>
    <x v="1"/>
    <n v="8045"/>
    <n v="894"/>
    <n v="231802"/>
    <n v="47.634187798207087"/>
    <n v="0.47634187798207089"/>
    <n v="33705"/>
  </r>
  <r>
    <s v="2024-07-08"/>
    <x v="3"/>
    <n v="2048"/>
    <n v="130"/>
    <n v="233720"/>
    <n v="39.284614068115687"/>
    <n v="0.39284614068115686"/>
    <n v="11828"/>
  </r>
  <r>
    <s v="2024-07-15"/>
    <x v="0"/>
    <n v="3964"/>
    <n v="378"/>
    <n v="246766"/>
    <n v="13.6355899921383"/>
    <n v="0.136355899921383"/>
    <n v="23109"/>
  </r>
  <r>
    <s v="2024-07-15"/>
    <x v="1"/>
    <n v="8137"/>
    <n v="1045"/>
    <n v="253858"/>
    <n v="20.47246886054408"/>
    <n v="0.2047246886054408"/>
    <n v="12023"/>
  </r>
  <r>
    <s v="2024-07-15"/>
    <x v="2"/>
    <n v="1963"/>
    <n v="137"/>
    <n v="255684"/>
    <n v="11.2083665774941"/>
    <n v="0.112083665774941"/>
    <n v="24537"/>
  </r>
  <r>
    <s v="2024-07-22"/>
    <x v="3"/>
    <n v="8340"/>
    <n v="911"/>
    <n v="264494"/>
    <n v="37.302925586213682"/>
    <n v="0.37302925586213681"/>
    <n v="48659"/>
  </r>
  <r>
    <s v="2024-07-22"/>
    <x v="1"/>
    <n v="8179"/>
    <n v="446"/>
    <n v="272227"/>
    <n v="41.82171496581897"/>
    <n v="0.41821714965818968"/>
    <n v="43848"/>
  </r>
  <r>
    <s v="2024-07-22"/>
    <x v="2"/>
    <n v="9734"/>
    <n v="652"/>
    <n v="289283"/>
    <n v="49.647922622483861"/>
    <n v="0.49647922622483859"/>
    <n v="25379"/>
  </r>
  <r>
    <s v="2024-07-29"/>
    <x v="3"/>
    <n v="1845"/>
    <n v="104"/>
    <n v="291024"/>
    <n v="28.158158777282971"/>
    <n v="0.28158158777282971"/>
    <n v="37766"/>
  </r>
  <r>
    <s v="2024-07-29"/>
    <x v="2"/>
    <n v="4036"/>
    <n v="591"/>
    <n v="300265"/>
    <n v="44.219272975538267"/>
    <n v="0.44219272975538265"/>
    <n v="12563"/>
  </r>
  <r>
    <s v="2024-07-29"/>
    <x v="1"/>
    <n v="6947"/>
    <n v="908"/>
    <n v="306304"/>
    <n v="14.117673944839121"/>
    <n v="0.14117673944839121"/>
    <n v="46060"/>
  </r>
  <r>
    <s v="2024-08-05"/>
    <x v="0"/>
    <n v="3494"/>
    <n v="281"/>
    <n v="309517"/>
    <n v="27.765518533715429"/>
    <n v="0.27765518533715428"/>
    <n v="39197"/>
  </r>
  <r>
    <s v="2024-08-05"/>
    <x v="1"/>
    <n v="3719"/>
    <n v="222"/>
    <n v="313014"/>
    <n v="21.669318305251519"/>
    <n v="0.2166931830525152"/>
    <n v="13586"/>
  </r>
  <r>
    <s v="2024-08-05"/>
    <x v="2"/>
    <n v="2884"/>
    <n v="341"/>
    <n v="315557"/>
    <n v="46.999749649033298"/>
    <n v="0.46999749649033296"/>
    <n v="26087"/>
  </r>
  <r>
    <s v="2024-08-05"/>
    <x v="3"/>
    <n v="5349"/>
    <n v="502"/>
    <n v="320404"/>
    <n v="5.2152906954969351"/>
    <n v="5.2152906954969352E-2"/>
    <n v="58868"/>
  </r>
  <r>
    <s v="2024-08-12"/>
    <x v="1"/>
    <n v="6179"/>
    <n v="384"/>
    <n v="326199"/>
    <n v="14.71218489327067"/>
    <n v="0.14712184893270672"/>
    <n v="33225"/>
  </r>
  <r>
    <s v="2024-08-12"/>
    <x v="0"/>
    <n v="7610"/>
    <n v="757"/>
    <n v="333052"/>
    <n v="44.450416151231643"/>
    <n v="0.44450416151231642"/>
    <n v="39750"/>
  </r>
  <r>
    <s v="2024-08-12"/>
    <x v="2"/>
    <n v="7430"/>
    <n v="397"/>
    <n v="340085"/>
    <n v="28.065042562888689"/>
    <n v="0.28065042562888687"/>
    <n v="16643"/>
  </r>
  <r>
    <s v="2024-08-19"/>
    <x v="0"/>
    <n v="7488"/>
    <n v="568"/>
    <n v="354010"/>
    <n v="13.47730290104799"/>
    <n v="0.13477302901047991"/>
    <n v="46727"/>
  </r>
  <r>
    <s v="2024-08-19"/>
    <x v="2"/>
    <n v="5737"/>
    <n v="666"/>
    <n v="359081"/>
    <n v="4.6034181702735593"/>
    <n v="4.6034181702735592E-2"/>
    <n v="21005"/>
  </r>
  <r>
    <s v="2024-08-26"/>
    <x v="3"/>
    <n v="1689"/>
    <n v="176"/>
    <n v="371865"/>
    <n v="38.012181840183942"/>
    <n v="0.3801218184018394"/>
    <n v="26029"/>
  </r>
  <r>
    <s v="2024-08-26"/>
    <x v="1"/>
    <n v="6175"/>
    <n v="422"/>
    <n v="377618"/>
    <n v="37.86101298137271"/>
    <n v="0.3786101298137271"/>
    <n v="59745"/>
  </r>
  <r>
    <s v="2024-08-26"/>
    <x v="0"/>
    <n v="9648"/>
    <n v="1417"/>
    <n v="385849"/>
    <n v="3.6633501706626168"/>
    <n v="3.6633501706626166E-2"/>
    <n v="24226"/>
  </r>
  <r>
    <s v="2024-08-26"/>
    <x v="2"/>
    <n v="6078"/>
    <n v="775"/>
    <n v="391152"/>
    <n v="37.760512537325639"/>
    <n v="0.37760512537325641"/>
    <n v="38731"/>
  </r>
  <r>
    <s v="2024-09-02"/>
    <x v="0"/>
    <n v="6448"/>
    <n v="928"/>
    <n v="396672"/>
    <n v="30.118586640851881"/>
    <n v="0.3011858664085188"/>
    <n v="53922"/>
  </r>
  <r>
    <s v="2024-09-02"/>
    <x v="1"/>
    <n v="7406"/>
    <n v="813"/>
    <n v="405141"/>
    <n v="24.457411123534769"/>
    <n v="0.2445741112353477"/>
    <n v="13390"/>
  </r>
  <r>
    <s v="2024-09-02"/>
    <x v="3"/>
    <n v="9591"/>
    <n v="1363"/>
    <n v="413369"/>
    <n v="10.494255737609739"/>
    <n v="0.1049425573760974"/>
    <n v="15997"/>
  </r>
  <r>
    <s v="2024-09-09"/>
    <x v="0"/>
    <n v="7907"/>
    <n v="465"/>
    <n v="420811"/>
    <n v="33.257448118038738"/>
    <n v="0.3325744811803874"/>
    <n v="22693"/>
  </r>
  <r>
    <s v="2024-09-09"/>
    <x v="2"/>
    <n v="9800"/>
    <n v="682"/>
    <n v="429929"/>
    <n v="6.2966210699906267"/>
    <n v="6.2966210699906267E-2"/>
    <n v="59815"/>
  </r>
  <r>
    <s v="2024-09-09"/>
    <x v="3"/>
    <n v="6671"/>
    <n v="550"/>
    <n v="438545"/>
    <n v="17.750287883797562"/>
    <n v="0.17750287883797561"/>
    <n v="10541"/>
  </r>
  <r>
    <s v="2024-09-16"/>
    <x v="2"/>
    <n v="7928"/>
    <n v="704"/>
    <n v="445769"/>
    <n v="11.194362999670229"/>
    <n v="0.11194362999670229"/>
    <n v="31817"/>
  </r>
  <r>
    <s v="2024-09-16"/>
    <x v="3"/>
    <n v="2382"/>
    <n v="183"/>
    <n v="447968"/>
    <n v="4.7335970426459033"/>
    <n v="4.7335970426459033E-2"/>
    <n v="47861"/>
  </r>
  <r>
    <s v="2024-09-16"/>
    <x v="1"/>
    <n v="4292"/>
    <n v="367"/>
    <n v="453977"/>
    <n v="3.5037017293827661"/>
    <n v="3.503701729382766E-2"/>
    <n v="53934"/>
  </r>
  <r>
    <s v="2024-09-23"/>
    <x v="0"/>
    <n v="1419"/>
    <n v="110"/>
    <n v="455286"/>
    <n v="31.554451487636339"/>
    <n v="0.31554451487636337"/>
    <n v="58831"/>
  </r>
  <r>
    <s v="2024-09-23"/>
    <x v="1"/>
    <n v="5517"/>
    <n v="575"/>
    <n v="460228"/>
    <n v="29.45844233727631"/>
    <n v="0.29458442337276308"/>
    <n v="20258"/>
  </r>
  <r>
    <s v="2024-09-30"/>
    <x v="0"/>
    <n v="8870"/>
    <n v="509"/>
    <n v="480320"/>
    <n v="25.077864756828781"/>
    <n v="0.25077864756828783"/>
    <n v="15469"/>
  </r>
  <r>
    <s v="2024-09-30"/>
    <x v="1"/>
    <n v="6693"/>
    <n v="995"/>
    <n v="486018"/>
    <n v="23.761877132122681"/>
    <n v="0.2376187713212268"/>
    <n v="38854"/>
  </r>
  <r>
    <s v="2024-10-07"/>
    <x v="3"/>
    <n v="2549"/>
    <n v="128"/>
    <n v="492814"/>
    <n v="12.734216154573531"/>
    <n v="0.1273421615457353"/>
    <n v="43937"/>
  </r>
  <r>
    <s v="2024-10-07"/>
    <x v="2"/>
    <n v="7140"/>
    <n v="939"/>
    <n v="499015"/>
    <n v="25.120888149654821"/>
    <n v="0.25120888149654819"/>
    <n v="43598"/>
  </r>
  <r>
    <s v="2024-10-07"/>
    <x v="0"/>
    <n v="5481"/>
    <n v="673"/>
    <n v="507970"/>
    <n v="13.08758391243577"/>
    <n v="0.13087583912435771"/>
    <n v="29194"/>
  </r>
  <r>
    <s v="2024-10-14"/>
    <x v="1"/>
    <n v="8898"/>
    <n v="1131"/>
    <n v="515737"/>
    <n v="2.1877429775253669"/>
    <n v="2.1877429775253671E-2"/>
    <n v="35051"/>
  </r>
  <r>
    <s v="2024-10-14"/>
    <x v="2"/>
    <n v="7548"/>
    <n v="433"/>
    <n v="522852"/>
    <n v="8.3562843787534522"/>
    <n v="8.3562843787534521E-2"/>
    <n v="37386"/>
  </r>
  <r>
    <s v="2024-10-21"/>
    <x v="0"/>
    <n v="8758"/>
    <n v="1193"/>
    <n v="538906"/>
    <n v="3.4213758985797149"/>
    <n v="3.4213758985797149E-2"/>
    <n v="26184"/>
  </r>
  <r>
    <s v="2024-10-21"/>
    <x v="2"/>
    <n v="7793"/>
    <n v="875"/>
    <n v="545824"/>
    <n v="5.5136820660139527"/>
    <n v="5.5136820660139529E-2"/>
    <n v="43787"/>
  </r>
  <r>
    <s v="2024-10-28"/>
    <x v="2"/>
    <n v="7007"/>
    <n v="568"/>
    <n v="568671"/>
    <n v="11.50507059442103"/>
    <n v="0.1150507059442103"/>
    <n v="22448"/>
  </r>
  <r>
    <s v="2024-10-28"/>
    <x v="3"/>
    <n v="7356"/>
    <n v="904"/>
    <n v="581126"/>
    <n v="17.560907617280929"/>
    <n v="0.1756090761728093"/>
    <n v="44051"/>
  </r>
  <r>
    <s v="2024-11-04"/>
    <x v="1"/>
    <n v="8380"/>
    <n v="1162"/>
    <n v="596704"/>
    <n v="18.05853488496809"/>
    <n v="0.18058534884968089"/>
    <n v="40447"/>
  </r>
  <r>
    <s v="2024-11-04"/>
    <x v="2"/>
    <n v="3385"/>
    <n v="329"/>
    <n v="599760"/>
    <n v="17.61788048552755"/>
    <n v="0.17617880485527551"/>
    <n v="28394"/>
  </r>
  <r>
    <s v="2024-11-04"/>
    <x v="3"/>
    <n v="5268"/>
    <n v="326"/>
    <n v="604702"/>
    <n v="23.435841125050029"/>
    <n v="0.23435841125050028"/>
    <n v="44501"/>
  </r>
  <r>
    <s v="2024-11-11"/>
    <x v="1"/>
    <n v="1163"/>
    <n v="146"/>
    <n v="607188"/>
    <n v="21.77776899411715"/>
    <n v="0.2177776899411715"/>
    <n v="28509"/>
  </r>
  <r>
    <s v="2024-11-11"/>
    <x v="3"/>
    <n v="5592"/>
    <n v="710"/>
    <n v="620702"/>
    <n v="9.07118069540617"/>
    <n v="9.0711806954061697E-2"/>
    <n v="24472"/>
  </r>
  <r>
    <s v="2024-11-11"/>
    <x v="2"/>
    <n v="5795"/>
    <n v="575"/>
    <n v="625922"/>
    <n v="3.0908004511744269"/>
    <n v="3.0908004511744268E-2"/>
    <n v="55657"/>
  </r>
  <r>
    <s v="2024-11-18"/>
    <x v="0"/>
    <n v="5798"/>
    <n v="592"/>
    <n v="631128"/>
    <n v="1.6774727155188811"/>
    <n v="1.6774727155188809E-2"/>
    <n v="13471"/>
  </r>
  <r>
    <s v="2024-11-18"/>
    <x v="1"/>
    <n v="7036"/>
    <n v="652"/>
    <n v="637512"/>
    <n v="3.5705994553828009"/>
    <n v="3.5705994553828009E-2"/>
    <n v="51796"/>
  </r>
  <r>
    <s v="2024-11-18"/>
    <x v="3"/>
    <n v="3355"/>
    <n v="176"/>
    <n v="640691"/>
    <n v="12.426427091999111"/>
    <n v="0.12426427091999111"/>
    <n v="40268"/>
  </r>
  <r>
    <s v="2024-11-25"/>
    <x v="0"/>
    <n v="8961"/>
    <n v="476"/>
    <n v="655645"/>
    <n v="15.458517947974901"/>
    <n v="0.15458517947974901"/>
    <n v="44865"/>
  </r>
  <r>
    <s v="2024-11-25"/>
    <x v="3"/>
    <n v="9737"/>
    <n v="792"/>
    <n v="670642"/>
    <n v="5.301785453341723"/>
    <n v="5.301785453341723E-2"/>
    <n v="56698"/>
  </r>
  <r>
    <s v="2024-11-25"/>
    <x v="2"/>
    <n v="5719"/>
    <n v="576"/>
    <n v="675785"/>
    <n v="10.21656296011305"/>
    <n v="0.1021656296011305"/>
    <n v="38272"/>
  </r>
  <r>
    <s v="2024-12-02"/>
    <x v="0"/>
    <n v="1593"/>
    <n v="224"/>
    <n v="677154"/>
    <n v="4.1495730660972248"/>
    <n v="4.1495730660972251E-2"/>
    <n v="52845"/>
  </r>
  <r>
    <s v="2024-12-02"/>
    <x v="3"/>
    <n v="5839"/>
    <n v="437"/>
    <n v="682556"/>
    <n v="17.44750613869045"/>
    <n v="0.1744750613869045"/>
    <n v="16397"/>
  </r>
  <r>
    <s v="2024-12-02"/>
    <x v="2"/>
    <n v="4493"/>
    <n v="564"/>
    <n v="694115"/>
    <n v="16.625487131094989"/>
    <n v="0.16625487131094988"/>
    <n v="45525"/>
  </r>
  <r>
    <s v="2024-12-09"/>
    <x v="1"/>
    <n v="7164"/>
    <n v="522"/>
    <n v="700757"/>
    <n v="13.449169969047761"/>
    <n v="0.13449169969047761"/>
    <n v="34570"/>
  </r>
  <r>
    <s v="2024-12-09"/>
    <x v="0"/>
    <n v="3672"/>
    <n v="211"/>
    <n v="704218"/>
    <n v="12.35057894004413"/>
    <n v="0.1235057894004413"/>
    <n v="28284"/>
  </r>
  <r>
    <s v="2024-12-09"/>
    <x v="2"/>
    <n v="5200"/>
    <n v="410"/>
    <n v="709008"/>
    <n v="12.913394489201821"/>
    <n v="0.12913394489201821"/>
    <n v="28994"/>
  </r>
  <r>
    <s v="2024-12-09"/>
    <x v="3"/>
    <n v="1016"/>
    <n v="67"/>
    <n v="709957"/>
    <n v="20.774215903216671"/>
    <n v="0.20774215903216672"/>
    <n v="33284"/>
  </r>
  <r>
    <s v="2024-12-16"/>
    <x v="0"/>
    <n v="4191"/>
    <n v="599"/>
    <n v="713549"/>
    <n v="11.56416728213479"/>
    <n v="0.11564167282134789"/>
    <n v="27833"/>
  </r>
  <r>
    <s v="2024-12-16"/>
    <x v="3"/>
    <n v="9616"/>
    <n v="1089"/>
    <n v="723286"/>
    <n v="19.25863351426683"/>
    <n v="0.19258633514266829"/>
    <n v="15017"/>
  </r>
  <r>
    <s v="2024-12-16"/>
    <x v="1"/>
    <n v="7272"/>
    <n v="997"/>
    <n v="729561"/>
    <n v="13.428486445958599"/>
    <n v="0.13428486445958598"/>
    <n v="26370"/>
  </r>
  <r>
    <s v="2024-12-23"/>
    <x v="3"/>
    <n v="1571"/>
    <n v="204"/>
    <n v="730928"/>
    <n v="19.449384891535139"/>
    <n v="0.1944938489153514"/>
    <n v="39252"/>
  </r>
  <r>
    <s v="2024-12-23"/>
    <x v="0"/>
    <n v="4631"/>
    <n v="317"/>
    <n v="735242"/>
    <n v="1.381177897889402"/>
    <n v="1.381177897889402E-2"/>
    <n v="17999"/>
  </r>
  <r>
    <s v="2024-12-23"/>
    <x v="2"/>
    <n v="8177"/>
    <n v="849"/>
    <n v="748744"/>
    <n v="10.34986590877523"/>
    <n v="0.1034986590877523"/>
    <n v="52963"/>
  </r>
  <r>
    <s v="2024-12-30"/>
    <x v="3"/>
    <n v="9433"/>
    <n v="1233"/>
    <n v="756944"/>
    <n v="11.391727789638329"/>
    <n v="0.1139172778963833"/>
    <n v="12096"/>
  </r>
  <r>
    <s v="2024-12-30"/>
    <x v="0"/>
    <n v="4897"/>
    <n v="683"/>
    <n v="761158"/>
    <n v="15.06231294947961"/>
    <n v="0.15062312949479609"/>
    <n v="58201"/>
  </r>
  <r>
    <s v="2024-12-30"/>
    <x v="1"/>
    <n v="3279"/>
    <n v="200"/>
    <n v="772614"/>
    <n v="5.0212654702089274"/>
    <n v="5.0212654702089271E-2"/>
    <n v="53363"/>
  </r>
  <r>
    <s v="2025-01-06"/>
    <x v="3"/>
    <n v="9980"/>
    <n v="726"/>
    <n v="781868"/>
    <n v="4.0220344099003924"/>
    <n v="4.0220344099003921E-2"/>
    <n v="58709"/>
  </r>
  <r>
    <s v="2025-01-06"/>
    <x v="1"/>
    <n v="8451"/>
    <n v="783"/>
    <n v="789536"/>
    <n v="12.407287318121019"/>
    <n v="0.1240728731812102"/>
    <n v="36201"/>
  </r>
  <r>
    <s v="2025-01-06"/>
    <x v="2"/>
    <n v="9906"/>
    <n v="1305"/>
    <n v="798137"/>
    <n v="9.1811305577864442"/>
    <n v="9.1811305577864447E-2"/>
    <n v="29715"/>
  </r>
  <r>
    <s v="2025-01-13"/>
    <x v="3"/>
    <n v="7869"/>
    <n v="398"/>
    <n v="807142"/>
    <n v="15.211945357818079"/>
    <n v="0.1521194535781808"/>
    <n v="25078"/>
  </r>
  <r>
    <s v="2025-01-13"/>
    <x v="0"/>
    <n v="3247"/>
    <n v="328"/>
    <n v="810061"/>
    <n v="13.941172331466399"/>
    <n v="0.139411723314664"/>
    <n v="15105"/>
  </r>
  <r>
    <s v="2025-01-13"/>
    <x v="1"/>
    <n v="8088"/>
    <n v="742"/>
    <n v="817407"/>
    <n v="14.664542877660701"/>
    <n v="0.146645428776607"/>
    <n v="39312"/>
  </r>
  <r>
    <s v="2025-01-13"/>
    <x v="2"/>
    <n v="1078"/>
    <n v="77"/>
    <n v="818408"/>
    <n v="18.236747441373989"/>
    <n v="0.18236747441373991"/>
    <n v="12839"/>
  </r>
  <r>
    <s v="2025-01-20"/>
    <x v="1"/>
    <n v="9080"/>
    <n v="562"/>
    <n v="826926"/>
    <n v="7.1083748727213809"/>
    <n v="7.1083748727213805E-2"/>
    <n v="13384"/>
  </r>
  <r>
    <s v="2025-01-20"/>
    <x v="2"/>
    <n v="8340"/>
    <n v="686"/>
    <n v="846217"/>
    <n v="7.201344336027284"/>
    <n v="7.2013443360272836E-2"/>
    <n v="23493"/>
  </r>
  <r>
    <s v="2025-01-27"/>
    <x v="3"/>
    <n v="8083"/>
    <n v="823"/>
    <n v="853477"/>
    <n v="4.6300017457998282"/>
    <n v="4.6300017457998284E-2"/>
    <n v="27069"/>
  </r>
  <r>
    <s v="2025-01-27"/>
    <x v="1"/>
    <n v="7230"/>
    <n v="869"/>
    <n v="859838"/>
    <n v="7.0117859410726204"/>
    <n v="7.0117859410726208E-2"/>
    <n v="56907"/>
  </r>
  <r>
    <s v="2025-01-27"/>
    <x v="0"/>
    <n v="4271"/>
    <n v="628"/>
    <n v="868909"/>
    <n v="11.124410036033691"/>
    <n v="0.11124410036033691"/>
    <n v="47051"/>
  </r>
  <r>
    <s v="2025-02-03"/>
    <x v="2"/>
    <n v="4456"/>
    <n v="651"/>
    <n v="872714"/>
    <n v="9.5052903929580594"/>
    <n v="9.5052903929580601E-2"/>
    <n v="17736"/>
  </r>
  <r>
    <s v="2025-02-03"/>
    <x v="1"/>
    <n v="8788"/>
    <n v="660"/>
    <n v="880842"/>
    <n v="3.7175793161543158"/>
    <n v="3.7175793161543159E-2"/>
    <n v="17710"/>
  </r>
  <r>
    <s v="2025-02-10"/>
    <x v="3"/>
    <n v="3711"/>
    <n v="291"/>
    <n v="900862"/>
    <n v="14.24879726306582"/>
    <n v="0.14248797263065818"/>
    <n v="55603"/>
  </r>
  <r>
    <s v="2025-02-10"/>
    <x v="1"/>
    <n v="1147"/>
    <n v="127"/>
    <n v="904407"/>
    <n v="1.3997016829812241"/>
    <n v="1.3997016829812241E-2"/>
    <n v="25261"/>
  </r>
  <r>
    <s v="2025-02-17"/>
    <x v="1"/>
    <n v="1365"/>
    <n v="75"/>
    <n v="912374"/>
    <n v="9.2688963078737441"/>
    <n v="9.2688963078737446E-2"/>
    <n v="19067"/>
  </r>
  <r>
    <s v="2025-02-17"/>
    <x v="3"/>
    <n v="5531"/>
    <n v="430"/>
    <n v="917475"/>
    <n v="2.7289026948963189"/>
    <n v="2.728902694896319E-2"/>
    <n v="47481"/>
  </r>
  <r>
    <s v="2025-02-17"/>
    <x v="0"/>
    <n v="6330"/>
    <n v="891"/>
    <n v="922914"/>
    <n v="14.789893749580139"/>
    <n v="0.14789893749580141"/>
    <n v="37037"/>
  </r>
  <r>
    <s v="2025-02-24"/>
    <x v="0"/>
    <n v="9754"/>
    <n v="629"/>
    <n v="938068"/>
    <n v="3.4123325814333292"/>
    <n v="3.4123325814333291E-2"/>
    <n v="19435"/>
  </r>
  <r>
    <s v="2025-02-24"/>
    <x v="2"/>
    <n v="9964"/>
    <n v="985"/>
    <n v="947047"/>
    <n v="1.9837452629066989"/>
    <n v="1.9837452629066988E-2"/>
    <n v="47766"/>
  </r>
  <r>
    <s v="2025-03-03"/>
    <x v="2"/>
    <n v="7511"/>
    <n v="880"/>
    <n v="966020"/>
    <n v="4.6083932009689246"/>
    <n v="4.6083932009689244E-2"/>
    <n v="29675"/>
  </r>
  <r>
    <s v="2025-03-03"/>
    <x v="3"/>
    <n v="8504"/>
    <n v="1072"/>
    <n v="973452"/>
    <n v="6.5651927367759271"/>
    <n v="6.5651927367759266E-2"/>
    <n v="18461"/>
  </r>
  <r>
    <s v="2025-03-03"/>
    <x v="1"/>
    <n v="2246"/>
    <n v="165"/>
    <n v="975533"/>
    <n v="2.9062061457685191"/>
    <n v="2.9062061457685192E-2"/>
    <n v="27015"/>
  </r>
  <r>
    <s v="2025-03-10"/>
    <x v="1"/>
    <n v="9551"/>
    <n v="828"/>
    <n v="988501"/>
    <n v="1.525036393488727"/>
    <n v="1.5250363934887269E-2"/>
    <n v="38047"/>
  </r>
  <r>
    <s v="2025-03-10"/>
    <x v="0"/>
    <n v="3376"/>
    <n v="382"/>
    <n v="991495"/>
    <n v="3.8694093263203548"/>
    <n v="3.8694093263203548E-2"/>
    <n v="44782"/>
  </r>
  <r>
    <s v="2025-03-10"/>
    <x v="2"/>
    <n v="4009"/>
    <n v="454"/>
    <n v="995050"/>
    <n v="2.1106477061454201"/>
    <n v="2.1106477061454201E-2"/>
    <n v="19833"/>
  </r>
  <r>
    <s v="2025-03-10"/>
    <x v="3"/>
    <n v="2827"/>
    <n v="292"/>
    <n v="997585"/>
    <n v="2.4004972007397871"/>
    <n v="2.400497200739787E-2"/>
    <n v="17896"/>
  </r>
  <r>
    <s v="2025-03-17"/>
    <x v="3"/>
    <n v="7979"/>
    <n v="470"/>
    <n v="1005094"/>
    <n v="10.43086517280971"/>
    <n v="0.1043086517280971"/>
    <n v="42972"/>
  </r>
  <r>
    <s v="2025-03-17"/>
    <x v="0"/>
    <n v="9569"/>
    <n v="1277"/>
    <n v="1013386"/>
    <n v="12.45517502708741"/>
    <n v="0.1245517502708741"/>
    <n v="59733"/>
  </r>
  <r>
    <s v="2025-03-24"/>
    <x v="3"/>
    <n v="9561"/>
    <n v="517"/>
    <n v="1034649"/>
    <n v="6.4086467971263694"/>
    <n v="6.4086467971263689E-2"/>
    <n v="15347"/>
  </r>
  <r>
    <s v="2025-03-24"/>
    <x v="2"/>
    <n v="4747"/>
    <n v="558"/>
    <n v="1041686"/>
    <n v="5.7680529449373434"/>
    <n v="5.7680529449373436E-2"/>
    <n v="12643"/>
  </r>
  <r>
    <s v="2025-03-31"/>
    <x v="1"/>
    <n v="6978"/>
    <n v="706"/>
    <n v="1057293"/>
    <n v="5.057443868445171"/>
    <n v="5.057443868445171E-2"/>
    <n v="28681"/>
  </r>
  <r>
    <s v="2025-03-31"/>
    <x v="0"/>
    <n v="6607"/>
    <n v="479"/>
    <n v="1063421"/>
    <n v="5.5892257158735816"/>
    <n v="5.5892257158735817E-2"/>
    <n v="48328"/>
  </r>
  <r>
    <s v="2025-03-31"/>
    <x v="2"/>
    <n v="1769"/>
    <n v="202"/>
    <n v="1064988"/>
    <n v="6.5457075572682513"/>
    <n v="6.5457075572682516E-2"/>
    <n v="25892"/>
  </r>
  <r>
    <s v="2025-03-31"/>
    <x v="3"/>
    <n v="1780"/>
    <n v="120"/>
    <n v="1066648"/>
    <n v="13.86474263299608"/>
    <n v="0.1386474263299608"/>
    <n v="57299"/>
  </r>
  <r>
    <s v="2025-04-07"/>
    <x v="2"/>
    <n v="7303"/>
    <n v="869"/>
    <n v="1073082"/>
    <n v="8.1237966902808925"/>
    <n v="8.123796690280892E-2"/>
    <n v="27073"/>
  </r>
  <r>
    <s v="2025-04-07"/>
    <x v="3"/>
    <n v="4983"/>
    <n v="441"/>
    <n v="1077624"/>
    <n v="6.8954477628560609"/>
    <n v="6.8954477628560606E-2"/>
    <n v="46768"/>
  </r>
  <r>
    <s v="2025-04-07"/>
    <x v="1"/>
    <n v="9714"/>
    <n v="1395"/>
    <n v="1085943"/>
    <n v="5.2243073531483697"/>
    <n v="5.2243073531483698E-2"/>
    <n v="40682"/>
  </r>
  <r>
    <s v="2025-04-07"/>
    <x v="0"/>
    <n v="1521"/>
    <n v="96"/>
    <n v="1087368"/>
    <n v="12.709772588488899"/>
    <n v="0.12709772588488899"/>
    <n v="42262"/>
  </r>
  <r>
    <s v="2025-04-14"/>
    <x v="3"/>
    <n v="8569"/>
    <n v="720"/>
    <n v="1095217"/>
    <n v="9.589697749395782"/>
    <n v="9.5896977493957813E-2"/>
    <n v="41358"/>
  </r>
  <r>
    <s v="2025-04-21"/>
    <x v="0"/>
    <n v="5941"/>
    <n v="450"/>
    <n v="1117854"/>
    <n v="12.414411899944"/>
    <n v="0.12414411899944"/>
    <n v="58330"/>
  </r>
  <r>
    <s v="2025-04-21"/>
    <x v="1"/>
    <n v="8128"/>
    <n v="1070"/>
    <n v="1131337"/>
    <n v="8.1114645768679008"/>
    <n v="8.1114645768679008E-2"/>
    <n v="21918"/>
  </r>
  <r>
    <s v="2025-04-28"/>
    <x v="3"/>
    <n v="1685"/>
    <n v="173"/>
    <n v="1135945"/>
    <n v="8.7776256772995165"/>
    <n v="8.7776256772995165E-2"/>
    <n v="49110"/>
  </r>
  <r>
    <s v="2025-04-28"/>
    <x v="1"/>
    <n v="3160"/>
    <n v="234"/>
    <n v="1138871"/>
    <n v="5.6959041015180816"/>
    <n v="5.6959041015180817E-2"/>
    <n v="21929"/>
  </r>
  <r>
    <s v="2025-05-05"/>
    <x v="3"/>
    <n v="1038"/>
    <n v="145"/>
    <n v="1152775"/>
    <n v="11.093752033137431"/>
    <n v="0.11093752033137431"/>
    <n v="55951"/>
  </r>
  <r>
    <s v="2025-05-05"/>
    <x v="2"/>
    <n v="5875"/>
    <n v="665"/>
    <n v="1157985"/>
    <n v="6.9871371390821126"/>
    <n v="6.9871371390821127E-2"/>
    <n v="32669"/>
  </r>
  <r>
    <s v="2025-05-05"/>
    <x v="0"/>
    <n v="8697"/>
    <n v="738"/>
    <n v="1168011"/>
    <n v="3.8777032065622672"/>
    <n v="3.877703206562267E-2"/>
    <n v="30644"/>
  </r>
  <r>
    <s v="2025-05-12"/>
    <x v="0"/>
    <n v="3196"/>
    <n v="391"/>
    <n v="1170816"/>
    <n v="7.2439221876024931"/>
    <n v="7.2439221876024931E-2"/>
    <n v="28745"/>
  </r>
  <r>
    <s v="2025-05-12"/>
    <x v="3"/>
    <n v="8165"/>
    <n v="1140"/>
    <n v="1177841"/>
    <n v="9.095964565675672"/>
    <n v="9.0959645656756724E-2"/>
    <n v="38228"/>
  </r>
  <r>
    <s v="2025-05-12"/>
    <x v="1"/>
    <n v="8527"/>
    <n v="1091"/>
    <n v="1186398"/>
    <n v="1.676081719625286"/>
    <n v="1.6760817196252858E-2"/>
    <n v="41703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2024-06-03"/>
    <x v="0"/>
    <n v="4138"/>
    <n v="361"/>
    <n v="103777"/>
    <n v="3.6395347716738774E-2"/>
    <n v="56.637790647253247"/>
    <n v="0.5663779064725325"/>
    <n v="23944"/>
  </r>
  <r>
    <s v="2024-06-03"/>
    <x v="1"/>
    <n v="8693"/>
    <n v="1261"/>
    <n v="111209"/>
    <n v="6.6829123542159363E-2"/>
    <n v="69.475492091467416"/>
    <n v="0.69475492091467417"/>
    <n v="29873"/>
  </r>
  <r>
    <s v="2024-06-03"/>
    <x v="2"/>
    <n v="9264"/>
    <n v="1141"/>
    <n v="119332"/>
    <n v="6.8070592967519189E-2"/>
    <n v="92.312204605638044"/>
    <n v="0.92312204605638049"/>
    <n v="50372"/>
  </r>
  <r>
    <s v="2024-06-10"/>
    <x v="0"/>
    <n v="7721"/>
    <n v="506"/>
    <n v="134418"/>
    <n v="5.3675846984778827E-2"/>
    <n v="35.577824398518047"/>
    <n v="0.35577824398518049"/>
    <n v="25379"/>
  </r>
  <r>
    <s v="2024-06-10"/>
    <x v="2"/>
    <n v="8002"/>
    <n v="524"/>
    <n v="141896"/>
    <n v="5.270056943113266E-2"/>
    <n v="52.064892597395271"/>
    <n v="0.52064892597395274"/>
    <n v="46751"/>
  </r>
  <r>
    <s v="2024-06-10"/>
    <x v="1"/>
    <n v="5225"/>
    <n v="291"/>
    <n v="146830"/>
    <n v="3.3603487025812166E-2"/>
    <n v="19.551862698358651"/>
    <n v="0.19551862698358652"/>
    <n v="44546"/>
  </r>
  <r>
    <s v="2024-06-17"/>
    <x v="0"/>
    <n v="8373"/>
    <n v="921"/>
    <n v="157717"/>
    <n v="4.7249186834646864E-2"/>
    <n v="12.2263294381709"/>
    <n v="0.12226329438170901"/>
    <n v="15110"/>
  </r>
  <r>
    <s v="2024-06-17"/>
    <x v="1"/>
    <n v="6907"/>
    <n v="834"/>
    <n v="163790"/>
    <n v="3.7077965687770928E-2"/>
    <n v="54.158984064961238"/>
    <n v="0.54158984064961235"/>
    <n v="22087"/>
  </r>
  <r>
    <s v="2024-06-17"/>
    <x v="3"/>
    <n v="7097"/>
    <n v="369"/>
    <n v="170518"/>
    <n v="3.9456245088495059E-2"/>
    <n v="9.2506362964613711"/>
    <n v="9.2506362964613717E-2"/>
    <n v="33762"/>
  </r>
  <r>
    <s v="2024-06-24"/>
    <x v="1"/>
    <n v="9984"/>
    <n v="1330"/>
    <n v="184850"/>
    <n v="4.6816337571003515E-2"/>
    <n v="57.524479307546663"/>
    <n v="0.57524479307546661"/>
    <n v="44947"/>
  </r>
  <r>
    <s v="2024-06-24"/>
    <x v="0"/>
    <n v="5259"/>
    <n v="374"/>
    <n v="189735"/>
    <n v="2.5746435818378266E-2"/>
    <n v="14.827522597306769"/>
    <n v="0.14827522597306769"/>
    <n v="19596"/>
  </r>
  <r>
    <s v="2024-06-24"/>
    <x v="2"/>
    <n v="9286"/>
    <n v="633"/>
    <n v="198388"/>
    <n v="4.3616549388067825E-2"/>
    <n v="5.4343004617214756"/>
    <n v="5.4343004617214759E-2"/>
    <n v="48019"/>
  </r>
  <r>
    <s v="2024-07-01"/>
    <x v="3"/>
    <n v="5917"/>
    <n v="475"/>
    <n v="210260"/>
    <n v="2.5882241034909159E-2"/>
    <n v="17.894035955483691"/>
    <n v="0.17894035955483692"/>
    <n v="28313"/>
  </r>
  <r>
    <s v="2024-07-01"/>
    <x v="1"/>
    <n v="9429"/>
    <n v="966"/>
    <n v="218723"/>
    <n v="3.8692775794040866E-2"/>
    <n v="7.6914636320825887"/>
    <n v="7.6914636320825888E-2"/>
    <n v="57639"/>
  </r>
  <r>
    <s v="2024-07-01"/>
    <x v="0"/>
    <n v="3530"/>
    <n v="328"/>
    <n v="221925"/>
    <n v="1.4428297848372199E-2"/>
    <n v="12.8372197814577"/>
    <n v="0.12837219781457698"/>
    <n v="11013"/>
  </r>
  <r>
    <s v="2024-07-08"/>
    <x v="1"/>
    <n v="8045"/>
    <n v="894"/>
    <n v="231802"/>
    <n v="3.084960440375838E-2"/>
    <n v="47.634187798207087"/>
    <n v="0.47634187798207089"/>
    <n v="33705"/>
  </r>
  <r>
    <s v="2024-07-08"/>
    <x v="3"/>
    <n v="2048"/>
    <n v="130"/>
    <n v="233720"/>
    <n v="8.2064008214958063E-3"/>
    <n v="39.284614068115687"/>
    <n v="0.39284614068115686"/>
    <n v="11828"/>
  </r>
  <r>
    <s v="2024-07-15"/>
    <x v="0"/>
    <n v="3964"/>
    <n v="378"/>
    <n v="246766"/>
    <n v="1.453198576789347E-2"/>
    <n v="13.6355899921383"/>
    <n v="0.136355899921383"/>
    <n v="23109"/>
  </r>
  <r>
    <s v="2024-07-15"/>
    <x v="1"/>
    <n v="8137"/>
    <n v="1045"/>
    <n v="253858"/>
    <n v="2.7936878097203948E-2"/>
    <n v="20.47246886054408"/>
    <n v="0.2047246886054408"/>
    <n v="12023"/>
  </r>
  <r>
    <s v="2024-07-15"/>
    <x v="2"/>
    <n v="1963"/>
    <n v="137"/>
    <n v="255684"/>
    <n v="7.1416279469970747E-3"/>
    <n v="11.2083665774941"/>
    <n v="0.112083665774941"/>
    <n v="24537"/>
  </r>
  <r>
    <s v="2024-07-22"/>
    <x v="3"/>
    <n v="8340"/>
    <n v="911"/>
    <n v="264494"/>
    <n v="2.8087593669421613E-2"/>
    <n v="37.302925586213682"/>
    <n v="0.37302925586213681"/>
    <n v="48659"/>
  </r>
  <r>
    <s v="2024-07-22"/>
    <x v="1"/>
    <n v="8179"/>
    <n v="446"/>
    <n v="272227"/>
    <n v="2.8406440213498294E-2"/>
    <n v="41.82171496581897"/>
    <n v="0.41821714965818968"/>
    <n v="43848"/>
  </r>
  <r>
    <s v="2024-07-22"/>
    <x v="2"/>
    <n v="9734"/>
    <n v="652"/>
    <n v="289283"/>
    <n v="3.1394862470314533E-2"/>
    <n v="49.647922622483861"/>
    <n v="0.49647922622483859"/>
    <n v="25379"/>
  </r>
  <r>
    <s v="2024-07-29"/>
    <x v="3"/>
    <n v="1845"/>
    <n v="104"/>
    <n v="291024"/>
    <n v="5.9823244818296775E-3"/>
    <n v="28.158158777282971"/>
    <n v="0.28158158777282971"/>
    <n v="37766"/>
  </r>
  <r>
    <s v="2024-07-29"/>
    <x v="2"/>
    <n v="4036"/>
    <n v="591"/>
    <n v="300265"/>
    <n v="1.1473198674504187E-2"/>
    <n v="44.219272975538267"/>
    <n v="0.44219272975538265"/>
    <n v="12563"/>
  </r>
  <r>
    <s v="2024-07-29"/>
    <x v="1"/>
    <n v="6947"/>
    <n v="908"/>
    <n v="306304"/>
    <n v="1.9715707271207691E-2"/>
    <n v="14.117673944839121"/>
    <n v="0.14117673944839121"/>
    <n v="46060"/>
  </r>
  <r>
    <s v="2024-08-05"/>
    <x v="0"/>
    <n v="3494"/>
    <n v="281"/>
    <n v="309517"/>
    <n v="1.0380689913639638E-2"/>
    <n v="27.765518533715429"/>
    <n v="0.27765518533715428"/>
    <n v="39197"/>
  </r>
  <r>
    <s v="2024-08-05"/>
    <x v="1"/>
    <n v="3719"/>
    <n v="222"/>
    <n v="313014"/>
    <n v="1.1172024254506188E-2"/>
    <n v="21.669318305251519"/>
    <n v="0.2166931830525152"/>
    <n v="13586"/>
  </r>
  <r>
    <s v="2024-08-05"/>
    <x v="2"/>
    <n v="2884"/>
    <n v="341"/>
    <n v="315557"/>
    <n v="8.058765928184131E-3"/>
    <n v="46.999749649033298"/>
    <n v="0.46999749649033296"/>
    <n v="26087"/>
  </r>
  <r>
    <s v="2024-08-05"/>
    <x v="3"/>
    <n v="5349"/>
    <n v="502"/>
    <n v="320404"/>
    <n v="1.5127776182569505E-2"/>
    <n v="5.2152906954969351"/>
    <n v="5.2152906954969352E-2"/>
    <n v="58868"/>
  </r>
  <r>
    <s v="2024-08-12"/>
    <x v="1"/>
    <n v="6179"/>
    <n v="384"/>
    <n v="326199"/>
    <n v="1.7765229200580015E-2"/>
    <n v="14.71218489327067"/>
    <n v="0.14712184893270672"/>
    <n v="33225"/>
  </r>
  <r>
    <s v="2024-08-12"/>
    <x v="0"/>
    <n v="7610"/>
    <n v="757"/>
    <n v="333052"/>
    <n v="2.0576366453286574E-2"/>
    <n v="44.450416151231643"/>
    <n v="0.44450416151231642"/>
    <n v="39750"/>
  </r>
  <r>
    <s v="2024-08-12"/>
    <x v="2"/>
    <n v="7430"/>
    <n v="397"/>
    <n v="340085"/>
    <n v="2.0680124086625402E-2"/>
    <n v="28.065042562888689"/>
    <n v="0.28065042562888687"/>
    <n v="16643"/>
  </r>
  <r>
    <s v="2024-08-19"/>
    <x v="0"/>
    <n v="7488"/>
    <n v="568"/>
    <n v="354010"/>
    <n v="1.9547470410440384E-2"/>
    <n v="13.47730290104799"/>
    <n v="0.13477302901047991"/>
    <n v="46727"/>
  </r>
  <r>
    <s v="2024-08-19"/>
    <x v="2"/>
    <n v="5737"/>
    <n v="666"/>
    <n v="359081"/>
    <n v="1.4122161852061233E-2"/>
    <n v="4.6034181702735593"/>
    <n v="4.6034181702735592E-2"/>
    <n v="21005"/>
  </r>
  <r>
    <s v="2024-08-26"/>
    <x v="3"/>
    <n v="1689"/>
    <n v="176"/>
    <n v="371865"/>
    <n v="4.068680838476329E-3"/>
    <n v="38.012181840183942"/>
    <n v="0.3801218184018394"/>
    <n v="26029"/>
  </r>
  <r>
    <s v="2024-08-26"/>
    <x v="1"/>
    <n v="6175"/>
    <n v="422"/>
    <n v="377618"/>
    <n v="1.523497290913039E-2"/>
    <n v="37.86101298137271"/>
    <n v="0.3786101298137271"/>
    <n v="59745"/>
  </r>
  <r>
    <s v="2024-08-26"/>
    <x v="0"/>
    <n v="9648"/>
    <n v="1417"/>
    <n v="385849"/>
    <n v="2.1332179168534842E-2"/>
    <n v="3.6633501706626168"/>
    <n v="3.6633501706626166E-2"/>
    <n v="24226"/>
  </r>
  <r>
    <s v="2024-08-26"/>
    <x v="2"/>
    <n v="6078"/>
    <n v="775"/>
    <n v="391152"/>
    <n v="1.3557389454738823E-2"/>
    <n v="37.760512537325639"/>
    <n v="0.37760512537325641"/>
    <n v="38731"/>
  </r>
  <r>
    <s v="2024-09-02"/>
    <x v="0"/>
    <n v="6448"/>
    <n v="928"/>
    <n v="396672"/>
    <n v="1.3915779283639884E-2"/>
    <n v="30.118586640851881"/>
    <n v="0.3011858664085188"/>
    <n v="53922"/>
  </r>
  <r>
    <s v="2024-09-02"/>
    <x v="1"/>
    <n v="7406"/>
    <n v="813"/>
    <n v="405141"/>
    <n v="1.6273346810122897E-2"/>
    <n v="24.457411123534769"/>
    <n v="0.2445741112353477"/>
    <n v="13390"/>
  </r>
  <r>
    <s v="2024-09-02"/>
    <x v="3"/>
    <n v="9591"/>
    <n v="1363"/>
    <n v="413369"/>
    <n v="1.9904734026983156E-2"/>
    <n v="10.494255737609739"/>
    <n v="0.1049425573760974"/>
    <n v="15997"/>
  </r>
  <r>
    <s v="2024-09-09"/>
    <x v="0"/>
    <n v="7907"/>
    <n v="465"/>
    <n v="420811"/>
    <n v="1.76848989213685E-2"/>
    <n v="33.257448118038738"/>
    <n v="0.3325744811803874"/>
    <n v="22693"/>
  </r>
  <r>
    <s v="2024-09-09"/>
    <x v="2"/>
    <n v="9800"/>
    <n v="682"/>
    <n v="429929"/>
    <n v="2.1208152974095722E-2"/>
    <n v="6.2966210699906267"/>
    <n v="6.2966210699906267E-2"/>
    <n v="59815"/>
  </r>
  <r>
    <s v="2024-09-09"/>
    <x v="3"/>
    <n v="6671"/>
    <n v="550"/>
    <n v="438545"/>
    <n v="1.3957518612685129E-2"/>
    <n v="17.750287883797562"/>
    <n v="0.17750287883797561"/>
    <n v="10541"/>
  </r>
  <r>
    <s v="2024-09-16"/>
    <x v="2"/>
    <n v="7928"/>
    <n v="704"/>
    <n v="445769"/>
    <n v="1.6205702953772022E-2"/>
    <n v="11.194362999670229"/>
    <n v="0.11194362999670229"/>
    <n v="31817"/>
  </r>
  <r>
    <s v="2024-09-16"/>
    <x v="3"/>
    <n v="2382"/>
    <n v="183"/>
    <n v="447968"/>
    <n v="4.9088327737695546E-3"/>
    <n v="4.7335970426459033"/>
    <n v="4.7335970426459033E-2"/>
    <n v="47861"/>
  </r>
  <r>
    <s v="2024-09-16"/>
    <x v="1"/>
    <n v="4292"/>
    <n v="367"/>
    <n v="453977"/>
    <n v="8.6458124530537899E-3"/>
    <n v="3.5037017293827661"/>
    <n v="3.503701729382766E-2"/>
    <n v="53934"/>
  </r>
  <r>
    <s v="2024-09-23"/>
    <x v="0"/>
    <n v="1419"/>
    <n v="110"/>
    <n v="455286"/>
    <n v="2.8751158612388694E-3"/>
    <n v="31.554451487636339"/>
    <n v="0.31554451487636337"/>
    <n v="58831"/>
  </r>
  <r>
    <s v="2024-09-23"/>
    <x v="1"/>
    <n v="5517"/>
    <n v="575"/>
    <n v="460228"/>
    <n v="1.07381558705685E-2"/>
    <n v="29.45844233727631"/>
    <n v="0.29458442337276308"/>
    <n v="20258"/>
  </r>
  <r>
    <s v="2024-09-30"/>
    <x v="0"/>
    <n v="8870"/>
    <n v="509"/>
    <n v="480320"/>
    <n v="1.7407145236508995E-2"/>
    <n v="25.077864756828781"/>
    <n v="0.25077864756828783"/>
    <n v="15469"/>
  </r>
  <r>
    <s v="2024-09-30"/>
    <x v="1"/>
    <n v="6693"/>
    <n v="995"/>
    <n v="486018"/>
    <n v="1.1723845618886543E-2"/>
    <n v="23.761877132122681"/>
    <n v="0.2376187713212268"/>
    <n v="38854"/>
  </r>
  <r>
    <s v="2024-10-07"/>
    <x v="3"/>
    <n v="2549"/>
    <n v="128"/>
    <n v="492814"/>
    <n v="4.9126039438814641E-3"/>
    <n v="12.734216154573531"/>
    <n v="0.1273421615457353"/>
    <n v="43937"/>
  </r>
  <r>
    <s v="2024-10-07"/>
    <x v="2"/>
    <n v="7140"/>
    <n v="939"/>
    <n v="499015"/>
    <n v="1.2426480165926877E-2"/>
    <n v="25.120888149654821"/>
    <n v="0.25120888149654819"/>
    <n v="43598"/>
  </r>
  <r>
    <s v="2024-10-07"/>
    <x v="0"/>
    <n v="5481"/>
    <n v="673"/>
    <n v="507970"/>
    <n v="9.4651258932614123E-3"/>
    <n v="13.08758391243577"/>
    <n v="0.13087583912435771"/>
    <n v="29194"/>
  </r>
  <r>
    <s v="2024-10-14"/>
    <x v="1"/>
    <n v="8898"/>
    <n v="1131"/>
    <n v="515737"/>
    <n v="1.5060001512398761E-2"/>
    <n v="2.1877429775253669"/>
    <n v="2.1877429775253671E-2"/>
    <n v="35051"/>
  </r>
  <r>
    <s v="2024-10-14"/>
    <x v="2"/>
    <n v="7548"/>
    <n v="433"/>
    <n v="522852"/>
    <n v="1.3608057347012157E-2"/>
    <n v="8.3562843787534522"/>
    <n v="8.3562843787534521E-2"/>
    <n v="37386"/>
  </r>
  <r>
    <s v="2024-10-21"/>
    <x v="0"/>
    <n v="8758"/>
    <n v="1193"/>
    <n v="538906"/>
    <n v="1.4037698596786824E-2"/>
    <n v="3.4213758985797149"/>
    <n v="3.4213758985797149E-2"/>
    <n v="26184"/>
  </r>
  <r>
    <s v="2024-10-21"/>
    <x v="2"/>
    <n v="7793"/>
    <n v="875"/>
    <n v="545824"/>
    <n v="1.267441519610717E-2"/>
    <n v="5.5136820660139527"/>
    <n v="5.5136820660139529E-2"/>
    <n v="43787"/>
  </r>
  <r>
    <s v="2024-10-28"/>
    <x v="2"/>
    <n v="7007"/>
    <n v="568"/>
    <n v="568671"/>
    <n v="1.1322891443382905E-2"/>
    <n v="11.50507059442103"/>
    <n v="0.1150507059442103"/>
    <n v="22448"/>
  </r>
  <r>
    <s v="2024-10-28"/>
    <x v="3"/>
    <n v="7356"/>
    <n v="904"/>
    <n v="581126"/>
    <n v="1.1102583604932494E-2"/>
    <n v="17.560907617280929"/>
    <n v="0.1756090761728093"/>
    <n v="44051"/>
  </r>
  <r>
    <s v="2024-11-04"/>
    <x v="1"/>
    <n v="8380"/>
    <n v="1162"/>
    <n v="596704"/>
    <n v="1.2096449831072022E-2"/>
    <n v="18.05853488496809"/>
    <n v="0.18058534884968089"/>
    <n v="40447"/>
  </r>
  <r>
    <s v="2024-11-04"/>
    <x v="2"/>
    <n v="3385"/>
    <n v="329"/>
    <n v="599760"/>
    <n v="5.0953714819261036E-3"/>
    <n v="17.61788048552755"/>
    <n v="0.17617880485527551"/>
    <n v="28394"/>
  </r>
  <r>
    <s v="2024-11-04"/>
    <x v="3"/>
    <n v="5268"/>
    <n v="326"/>
    <n v="604702"/>
    <n v="8.1726205635172366E-3"/>
    <n v="23.435841125050029"/>
    <n v="0.23435841125050028"/>
    <n v="44501"/>
  </r>
  <r>
    <s v="2024-11-11"/>
    <x v="1"/>
    <n v="1163"/>
    <n v="146"/>
    <n v="607188"/>
    <n v="1.6749342872388782E-3"/>
    <n v="21.77776899411715"/>
    <n v="0.2177776899411715"/>
    <n v="28509"/>
  </r>
  <r>
    <s v="2024-11-11"/>
    <x v="3"/>
    <n v="5592"/>
    <n v="710"/>
    <n v="620702"/>
    <n v="7.8652880126050834E-3"/>
    <n v="9.07118069540617"/>
    <n v="9.0711806954061697E-2"/>
    <n v="24472"/>
  </r>
  <r>
    <s v="2024-11-11"/>
    <x v="2"/>
    <n v="5795"/>
    <n v="575"/>
    <n v="625922"/>
    <n v="8.3396972785746461E-3"/>
    <n v="3.0908004511744269"/>
    <n v="3.0908004511744268E-2"/>
    <n v="55657"/>
  </r>
  <r>
    <s v="2024-11-18"/>
    <x v="0"/>
    <n v="5798"/>
    <n v="592"/>
    <n v="631128"/>
    <n v="8.2487229214992831E-3"/>
    <n v="1.6774727155188811"/>
    <n v="1.6774727155188809E-2"/>
    <n v="13471"/>
  </r>
  <r>
    <s v="2024-11-18"/>
    <x v="1"/>
    <n v="7036"/>
    <n v="652"/>
    <n v="637512"/>
    <n v="1.0013929149568949E-2"/>
    <n v="3.5705994553828009"/>
    <n v="3.5705994553828009E-2"/>
    <n v="51796"/>
  </r>
  <r>
    <s v="2024-11-18"/>
    <x v="3"/>
    <n v="3355"/>
    <n v="176"/>
    <n v="640691"/>
    <n v="4.9618302738761748E-3"/>
    <n v="12.426427091999111"/>
    <n v="0.12426427091999111"/>
    <n v="40268"/>
  </r>
  <r>
    <s v="2024-11-25"/>
    <x v="0"/>
    <n v="8961"/>
    <n v="476"/>
    <n v="655645"/>
    <n v="1.2941454598143812E-2"/>
    <n v="15.458517947974901"/>
    <n v="0.15458517947974901"/>
    <n v="44865"/>
  </r>
  <r>
    <s v="2024-11-25"/>
    <x v="3"/>
    <n v="9737"/>
    <n v="792"/>
    <n v="670642"/>
    <n v="1.3337965710468476E-2"/>
    <n v="5.301785453341723"/>
    <n v="5.301785453341723E-2"/>
    <n v="56698"/>
  </r>
  <r>
    <s v="2024-11-25"/>
    <x v="2"/>
    <n v="5719"/>
    <n v="576"/>
    <n v="675785"/>
    <n v="7.6104086358827145E-3"/>
    <n v="10.21656296011305"/>
    <n v="0.1021656296011305"/>
    <n v="38272"/>
  </r>
  <r>
    <s v="2024-12-02"/>
    <x v="0"/>
    <n v="1593"/>
    <n v="224"/>
    <n v="677154"/>
    <n v="2.0216966893793729E-3"/>
    <n v="4.1495730660972248"/>
    <n v="4.1495730660972251E-2"/>
    <n v="52845"/>
  </r>
  <r>
    <s v="2024-12-02"/>
    <x v="3"/>
    <n v="5839"/>
    <n v="437"/>
    <n v="682556"/>
    <n v="7.9143689309009082E-3"/>
    <n v="17.44750613869045"/>
    <n v="0.1744750613869045"/>
    <n v="16397"/>
  </r>
  <r>
    <s v="2024-12-02"/>
    <x v="2"/>
    <n v="4493"/>
    <n v="564"/>
    <n v="694115"/>
    <n v="5.660445315257558E-3"/>
    <n v="16.625487131094989"/>
    <n v="0.16625487131094988"/>
    <n v="45525"/>
  </r>
  <r>
    <s v="2024-12-09"/>
    <x v="1"/>
    <n v="7164"/>
    <n v="522"/>
    <n v="700757"/>
    <n v="9.4783213011072308E-3"/>
    <n v="13.449169969047761"/>
    <n v="0.13449169969047761"/>
    <n v="34570"/>
  </r>
  <r>
    <s v="2024-12-09"/>
    <x v="0"/>
    <n v="3672"/>
    <n v="211"/>
    <n v="704218"/>
    <n v="4.9146713091684675E-3"/>
    <n v="12.35057894004413"/>
    <n v="0.1235057894004413"/>
    <n v="28284"/>
  </r>
  <r>
    <s v="2024-12-09"/>
    <x v="2"/>
    <n v="5200"/>
    <n v="410"/>
    <n v="709008"/>
    <n v="6.7559181278631555E-3"/>
    <n v="12.913394489201821"/>
    <n v="0.12913394489201821"/>
    <n v="28994"/>
  </r>
  <r>
    <s v="2024-12-09"/>
    <x v="3"/>
    <n v="1016"/>
    <n v="67"/>
    <n v="709957"/>
    <n v="1.3367006734210664E-3"/>
    <n v="20.774215903216671"/>
    <n v="0.20774215903216672"/>
    <n v="33284"/>
  </r>
  <r>
    <s v="2024-12-16"/>
    <x v="0"/>
    <n v="4191"/>
    <n v="599"/>
    <n v="713549"/>
    <n v="5.033992059410076E-3"/>
    <n v="11.56416728213479"/>
    <n v="0.11564167282134789"/>
    <n v="27833"/>
  </r>
  <r>
    <s v="2024-12-16"/>
    <x v="3"/>
    <n v="9616"/>
    <n v="1089"/>
    <n v="723286"/>
    <n v="1.178925072516266E-2"/>
    <n v="19.25863351426683"/>
    <n v="0.19258633514266829"/>
    <n v="15017"/>
  </r>
  <r>
    <s v="2024-12-16"/>
    <x v="1"/>
    <n v="7272"/>
    <n v="997"/>
    <n v="729561"/>
    <n v="8.6010628309353167E-3"/>
    <n v="13.428486445958599"/>
    <n v="0.13428486445958598"/>
    <n v="26370"/>
  </r>
  <r>
    <s v="2024-12-23"/>
    <x v="3"/>
    <n v="1571"/>
    <n v="204"/>
    <n v="730928"/>
    <n v="1.8702252479040344E-3"/>
    <n v="19.449384891535139"/>
    <n v="0.1944938489153514"/>
    <n v="39252"/>
  </r>
  <r>
    <s v="2024-12-23"/>
    <x v="0"/>
    <n v="4631"/>
    <n v="317"/>
    <n v="735242"/>
    <n v="5.8674558852731479E-3"/>
    <n v="1.381177897889402"/>
    <n v="1.381177897889402E-2"/>
    <n v="17999"/>
  </r>
  <r>
    <s v="2024-12-23"/>
    <x v="2"/>
    <n v="8177"/>
    <n v="849"/>
    <n v="748744"/>
    <n v="9.7870567243276748E-3"/>
    <n v="10.34986590877523"/>
    <n v="0.1034986590877523"/>
    <n v="52963"/>
  </r>
  <r>
    <s v="2024-12-30"/>
    <x v="3"/>
    <n v="9433"/>
    <n v="1233"/>
    <n v="756944"/>
    <n v="1.0833033883616226E-2"/>
    <n v="11.391727789638329"/>
    <n v="0.1139172778963833"/>
    <n v="12096"/>
  </r>
  <r>
    <s v="2024-12-30"/>
    <x v="0"/>
    <n v="4897"/>
    <n v="683"/>
    <n v="761158"/>
    <n v="5.5363012672795921E-3"/>
    <n v="15.06231294947961"/>
    <n v="0.15062312949479609"/>
    <n v="58201"/>
  </r>
  <r>
    <s v="2024-12-30"/>
    <x v="1"/>
    <n v="3279"/>
    <n v="200"/>
    <n v="772614"/>
    <n v="3.9851724146857288E-3"/>
    <n v="5.0212654702089274"/>
    <n v="5.0212654702089271E-2"/>
    <n v="53363"/>
  </r>
  <r>
    <s v="2025-01-06"/>
    <x v="3"/>
    <n v="9980"/>
    <n v="726"/>
    <n v="781868"/>
    <n v="1.1835757442432739E-2"/>
    <n v="4.0220344099003924"/>
    <n v="4.0220344099003921E-2"/>
    <n v="58709"/>
  </r>
  <r>
    <s v="2025-01-06"/>
    <x v="1"/>
    <n v="8451"/>
    <n v="783"/>
    <n v="789536"/>
    <n v="9.7120333968305442E-3"/>
    <n v="12.407287318121019"/>
    <n v="0.1240728731812102"/>
    <n v="36201"/>
  </r>
  <r>
    <s v="2025-01-06"/>
    <x v="2"/>
    <n v="9906"/>
    <n v="1305"/>
    <n v="798137"/>
    <n v="1.0776345414383746E-2"/>
    <n v="9.1811305577864442"/>
    <n v="9.1811305577864447E-2"/>
    <n v="29715"/>
  </r>
  <r>
    <s v="2025-01-13"/>
    <x v="3"/>
    <n v="7869"/>
    <n v="398"/>
    <n v="807142"/>
    <n v="9.2561160241940079E-3"/>
    <n v="15.211945357818079"/>
    <n v="0.1521194535781808"/>
    <n v="25078"/>
  </r>
  <r>
    <s v="2025-01-13"/>
    <x v="0"/>
    <n v="3247"/>
    <n v="328"/>
    <n v="810061"/>
    <n v="3.6034323341081723E-3"/>
    <n v="13.941172331466399"/>
    <n v="0.139411723314664"/>
    <n v="15105"/>
  </r>
  <r>
    <s v="2025-01-13"/>
    <x v="1"/>
    <n v="8088"/>
    <n v="742"/>
    <n v="817407"/>
    <n v="8.9869550909155421E-3"/>
    <n v="14.664542877660701"/>
    <n v="0.146645428776607"/>
    <n v="39312"/>
  </r>
  <r>
    <s v="2025-01-13"/>
    <x v="2"/>
    <n v="1078"/>
    <n v="77"/>
    <n v="818408"/>
    <n v="1.2231063234963489E-3"/>
    <n v="18.236747441373989"/>
    <n v="0.18236747441373991"/>
    <n v="12839"/>
  </r>
  <r>
    <s v="2025-01-20"/>
    <x v="1"/>
    <n v="9080"/>
    <n v="562"/>
    <n v="826926"/>
    <n v="1.0300800797169276E-2"/>
    <n v="7.1083748727213809"/>
    <n v="7.1083748727213805E-2"/>
    <n v="13384"/>
  </r>
  <r>
    <s v="2025-01-20"/>
    <x v="2"/>
    <n v="8340"/>
    <n v="686"/>
    <n v="846217"/>
    <n v="9.0449612806171465E-3"/>
    <n v="7.201344336027284"/>
    <n v="7.2013443360272836E-2"/>
    <n v="23493"/>
  </r>
  <r>
    <s v="2025-01-27"/>
    <x v="3"/>
    <n v="8083"/>
    <n v="823"/>
    <n v="853477"/>
    <n v="8.5063803711172073E-3"/>
    <n v="4.6300017457998282"/>
    <n v="4.6300017457998284E-2"/>
    <n v="27069"/>
  </r>
  <r>
    <s v="2025-01-27"/>
    <x v="1"/>
    <n v="7230"/>
    <n v="869"/>
    <n v="859838"/>
    <n v="7.397905186791E-3"/>
    <n v="7.0117859410726204"/>
    <n v="7.0117859410726208E-2"/>
    <n v="56907"/>
  </r>
  <r>
    <s v="2025-01-27"/>
    <x v="0"/>
    <n v="4271"/>
    <n v="628"/>
    <n v="868909"/>
    <n v="4.1926139561219876E-3"/>
    <n v="11.124410036033691"/>
    <n v="0.11124410036033691"/>
    <n v="47051"/>
  </r>
  <r>
    <s v="2025-02-03"/>
    <x v="2"/>
    <n v="4456"/>
    <n v="651"/>
    <n v="872714"/>
    <n v="4.3599621410908961E-3"/>
    <n v="9.5052903929580594"/>
    <n v="9.5052903929580601E-2"/>
    <n v="17736"/>
  </r>
  <r>
    <s v="2025-02-03"/>
    <x v="1"/>
    <n v="8788"/>
    <n v="660"/>
    <n v="880842"/>
    <n v="9.2275345635199051E-3"/>
    <n v="3.7175793161543158"/>
    <n v="3.7175793161543159E-2"/>
    <n v="17710"/>
  </r>
  <r>
    <s v="2025-02-10"/>
    <x v="3"/>
    <n v="3711"/>
    <n v="291"/>
    <n v="900862"/>
    <n v="3.7963639269943676E-3"/>
    <n v="14.24879726306582"/>
    <n v="0.14248797263065818"/>
    <n v="55603"/>
  </r>
  <r>
    <s v="2025-02-10"/>
    <x v="1"/>
    <n v="1147"/>
    <n v="127"/>
    <n v="904407"/>
    <n v="1.1278108196862695E-3"/>
    <n v="1.3997016829812241"/>
    <n v="1.3997016829812241E-2"/>
    <n v="25261"/>
  </r>
  <r>
    <s v="2025-02-17"/>
    <x v="1"/>
    <n v="1365"/>
    <n v="75"/>
    <n v="912374"/>
    <n v="1.4138938637006315E-3"/>
    <n v="9.2688963078737441"/>
    <n v="9.2688963078737446E-2"/>
    <n v="19067"/>
  </r>
  <r>
    <s v="2025-02-17"/>
    <x v="3"/>
    <n v="5531"/>
    <n v="430"/>
    <n v="917475"/>
    <n v="5.5598245183792472E-3"/>
    <n v="2.7289026948963189"/>
    <n v="2.728902694896319E-2"/>
    <n v="47481"/>
  </r>
  <r>
    <s v="2025-02-17"/>
    <x v="0"/>
    <n v="6330"/>
    <n v="891"/>
    <n v="922914"/>
    <n v="5.8932901657142486E-3"/>
    <n v="14.789893749580139"/>
    <n v="0.14789893749580141"/>
    <n v="37037"/>
  </r>
  <r>
    <s v="2025-02-24"/>
    <x v="0"/>
    <n v="9754"/>
    <n v="629"/>
    <n v="938068"/>
    <n v="9.7274398018054129E-3"/>
    <n v="3.4123325814333292"/>
    <n v="3.4123325814333291E-2"/>
    <n v="19435"/>
  </r>
  <r>
    <s v="2025-02-24"/>
    <x v="2"/>
    <n v="9964"/>
    <n v="985"/>
    <n v="947047"/>
    <n v="9.4810500429228957E-3"/>
    <n v="1.9837452629066989"/>
    <n v="1.9837452629066988E-2"/>
    <n v="47766"/>
  </r>
  <r>
    <s v="2025-03-03"/>
    <x v="2"/>
    <n v="7511"/>
    <n v="880"/>
    <n v="966020"/>
    <n v="6.8642471170369144E-3"/>
    <n v="4.6083932009689246"/>
    <n v="4.6083932009689244E-2"/>
    <n v="29675"/>
  </r>
  <r>
    <s v="2025-03-03"/>
    <x v="3"/>
    <n v="8504"/>
    <n v="1072"/>
    <n v="973452"/>
    <n v="7.6346856342171983E-3"/>
    <n v="6.5651927367759271"/>
    <n v="6.5651927367759266E-2"/>
    <n v="18461"/>
  </r>
  <r>
    <s v="2025-03-03"/>
    <x v="1"/>
    <n v="2246"/>
    <n v="165"/>
    <n v="975533"/>
    <n v="2.1331928289458173E-3"/>
    <n v="2.9062061457685191"/>
    <n v="2.9062061457685192E-2"/>
    <n v="27015"/>
  </r>
  <r>
    <s v="2025-03-10"/>
    <x v="1"/>
    <n v="9551"/>
    <n v="828"/>
    <n v="988501"/>
    <n v="8.8244726105487E-3"/>
    <n v="1.525036393488727"/>
    <n v="1.5250363934887269E-2"/>
    <n v="38047"/>
  </r>
  <r>
    <s v="2025-03-10"/>
    <x v="0"/>
    <n v="3376"/>
    <n v="382"/>
    <n v="991495"/>
    <n v="3.0196823988018094E-3"/>
    <n v="3.8694093263203548"/>
    <n v="3.8694093263203548E-2"/>
    <n v="44782"/>
  </r>
  <r>
    <s v="2025-03-10"/>
    <x v="2"/>
    <n v="4009"/>
    <n v="454"/>
    <n v="995050"/>
    <n v="3.5726847897090599E-3"/>
    <n v="2.1106477061454201"/>
    <n v="2.1106477061454201E-2"/>
    <n v="19833"/>
  </r>
  <r>
    <s v="2025-03-10"/>
    <x v="3"/>
    <n v="2827"/>
    <n v="292"/>
    <n v="997585"/>
    <n v="2.5411368454818384E-3"/>
    <n v="2.4004972007397871"/>
    <n v="2.400497200739787E-2"/>
    <n v="17896"/>
  </r>
  <r>
    <s v="2025-03-17"/>
    <x v="3"/>
    <n v="7979"/>
    <n v="470"/>
    <n v="1005094"/>
    <n v="7.4709430162750948E-3"/>
    <n v="10.43086517280971"/>
    <n v="0.1043086517280971"/>
    <n v="42972"/>
  </r>
  <r>
    <s v="2025-03-17"/>
    <x v="0"/>
    <n v="9569"/>
    <n v="1277"/>
    <n v="1013386"/>
    <n v="8.1824694637581338E-3"/>
    <n v="12.45517502708741"/>
    <n v="0.1245517502708741"/>
    <n v="59733"/>
  </r>
  <r>
    <s v="2025-03-24"/>
    <x v="3"/>
    <n v="9561"/>
    <n v="517"/>
    <n v="1034649"/>
    <n v="8.741128633961856E-3"/>
    <n v="6.4086467971263694"/>
    <n v="6.4086467971263689E-2"/>
    <n v="15347"/>
  </r>
  <r>
    <s v="2025-03-24"/>
    <x v="2"/>
    <n v="4747"/>
    <n v="558"/>
    <n v="1041686"/>
    <n v="4.021365363458854E-3"/>
    <n v="5.7680529449373434"/>
    <n v="5.7680529449373436E-2"/>
    <n v="12643"/>
  </r>
  <r>
    <s v="2025-03-31"/>
    <x v="1"/>
    <n v="6978"/>
    <n v="706"/>
    <n v="1057293"/>
    <n v="5.9321304501212058E-3"/>
    <n v="5.057443868445171"/>
    <n v="5.057443868445171E-2"/>
    <n v="28681"/>
  </r>
  <r>
    <s v="2025-03-31"/>
    <x v="0"/>
    <n v="6607"/>
    <n v="479"/>
    <n v="1063421"/>
    <n v="5.7625343114345116E-3"/>
    <n v="5.5892257158735816"/>
    <n v="5.5892257158735817E-2"/>
    <n v="48328"/>
  </r>
  <r>
    <s v="2025-03-31"/>
    <x v="2"/>
    <n v="1769"/>
    <n v="202"/>
    <n v="1064988"/>
    <n v="1.4713780812553757E-3"/>
    <n v="6.5457075572682513"/>
    <n v="6.5457075572682516E-2"/>
    <n v="25892"/>
  </r>
  <r>
    <s v="2025-03-31"/>
    <x v="3"/>
    <n v="1780"/>
    <n v="120"/>
    <n v="1066648"/>
    <n v="1.55627723485161E-3"/>
    <n v="13.86474263299608"/>
    <n v="0.1386474263299608"/>
    <n v="57299"/>
  </r>
  <r>
    <s v="2025-04-07"/>
    <x v="2"/>
    <n v="7303"/>
    <n v="869"/>
    <n v="1073082"/>
    <n v="5.9958139266151145E-3"/>
    <n v="8.1237966902808925"/>
    <n v="8.123796690280892E-2"/>
    <n v="27073"/>
  </r>
  <r>
    <s v="2025-04-07"/>
    <x v="3"/>
    <n v="4983"/>
    <n v="441"/>
    <n v="1077624"/>
    <n v="4.2148281775461569E-3"/>
    <n v="6.8954477628560609"/>
    <n v="6.8954477628560606E-2"/>
    <n v="46768"/>
  </r>
  <r>
    <s v="2025-04-07"/>
    <x v="1"/>
    <n v="9714"/>
    <n v="1395"/>
    <n v="1085943"/>
    <n v="7.6606230713766746E-3"/>
    <n v="5.2243073531483697"/>
    <n v="5.2243073531483698E-2"/>
    <n v="40682"/>
  </r>
  <r>
    <s v="2025-04-07"/>
    <x v="0"/>
    <n v="1521"/>
    <n v="96"/>
    <n v="1087368"/>
    <n v="1.3105038956452645E-3"/>
    <n v="12.709772588488899"/>
    <n v="0.12709772588488899"/>
    <n v="42262"/>
  </r>
  <r>
    <s v="2025-04-14"/>
    <x v="3"/>
    <n v="8569"/>
    <n v="720"/>
    <n v="1095217"/>
    <n v="7.1666162961312686E-3"/>
    <n v="9.589697749395782"/>
    <n v="9.5896977493957813E-2"/>
    <n v="41358"/>
  </r>
  <r>
    <s v="2025-04-21"/>
    <x v="0"/>
    <n v="5941"/>
    <n v="450"/>
    <n v="1117854"/>
    <n v="4.9120904876665469E-3"/>
    <n v="12.414411899944"/>
    <n v="0.12414411899944"/>
    <n v="58330"/>
  </r>
  <r>
    <s v="2025-04-21"/>
    <x v="1"/>
    <n v="8128"/>
    <n v="1070"/>
    <n v="1131337"/>
    <n v="6.2386362330587612E-3"/>
    <n v="8.1114645768679008"/>
    <n v="8.1114645768679008E-2"/>
    <n v="21918"/>
  </r>
  <r>
    <s v="2025-04-28"/>
    <x v="3"/>
    <n v="1685"/>
    <n v="173"/>
    <n v="1135945"/>
    <n v="1.331050358952238E-3"/>
    <n v="8.7776256772995165"/>
    <n v="8.7776256772995165E-2"/>
    <n v="49110"/>
  </r>
  <r>
    <s v="2025-04-28"/>
    <x v="1"/>
    <n v="3160"/>
    <n v="234"/>
    <n v="1138871"/>
    <n v="2.5692110871204906E-3"/>
    <n v="5.6959041015180816"/>
    <n v="5.6959041015180817E-2"/>
    <n v="21929"/>
  </r>
  <r>
    <s v="2025-05-05"/>
    <x v="3"/>
    <n v="1038"/>
    <n v="145"/>
    <n v="1152775"/>
    <n v="7.7465246904209403E-4"/>
    <n v="11.093752033137431"/>
    <n v="0.11093752033137431"/>
    <n v="55951"/>
  </r>
  <r>
    <s v="2025-05-05"/>
    <x v="2"/>
    <n v="5875"/>
    <n v="665"/>
    <n v="1157985"/>
    <n v="4.4991947218659999E-3"/>
    <n v="6.9871371390821126"/>
    <n v="6.9871371390821127E-2"/>
    <n v="32669"/>
  </r>
  <r>
    <s v="2025-05-05"/>
    <x v="0"/>
    <n v="8697"/>
    <n v="738"/>
    <n v="1168011"/>
    <n v="6.8141481544266276E-3"/>
    <n v="3.8777032065622672"/>
    <n v="3.877703206562267E-2"/>
    <n v="30644"/>
  </r>
  <r>
    <s v="2025-05-12"/>
    <x v="0"/>
    <n v="3196"/>
    <n v="391"/>
    <n v="1170816"/>
    <n v="2.3957650049196456E-3"/>
    <n v="7.2439221876024931"/>
    <n v="7.2439221876024931E-2"/>
    <n v="28745"/>
  </r>
  <r>
    <s v="2025-05-12"/>
    <x v="3"/>
    <n v="8165"/>
    <n v="1140"/>
    <n v="1177841"/>
    <n v="5.9643024822535473E-3"/>
    <n v="9.095964565675672"/>
    <n v="9.0959645656756724E-2"/>
    <n v="38228"/>
  </r>
  <r>
    <s v="2025-05-12"/>
    <x v="1"/>
    <n v="8527"/>
    <n v="1091"/>
    <n v="1186398"/>
    <n v="6.267711172810473E-3"/>
    <n v="1.676081719625286"/>
    <n v="1.6760817196252858E-2"/>
    <n v="41703"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  <r>
    <m/>
    <x v="4"/>
    <m/>
    <m/>
    <m/>
    <m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A1"/>
    <s v="YouTube"/>
    <s v="2024-12-23"/>
    <s v="Image"/>
    <x v="0"/>
    <s v="HealthTech"/>
    <n v="24516"/>
    <n v="976"/>
    <n v="974"/>
    <n v="2675"/>
    <n v="23275"/>
    <n v="202932"/>
    <s v="Apple Watch Ultra 2 Launch"/>
    <n v="13.041807107799658"/>
  </r>
  <r>
    <s v="A2"/>
    <s v="LinkedIn"/>
    <d v="2025-09-03T00:00:00"/>
    <s v="Image"/>
    <x v="1"/>
    <s v="AppleInnovation"/>
    <n v="4779"/>
    <n v="1110"/>
    <n v="436"/>
    <n v="1574"/>
    <n v="77167"/>
    <n v="71585"/>
    <s v="Apple Event September 2025"/>
    <n v="8.8356499266606132"/>
  </r>
  <r>
    <s v="A3"/>
    <s v="Instagram"/>
    <s v="2025-05-12"/>
    <s v="Tweet"/>
    <x v="2"/>
    <s v="Innovation"/>
    <n v="19308"/>
    <n v="1318"/>
    <n v="795"/>
    <n v="1499"/>
    <n v="52307"/>
    <n v="193087"/>
    <s v="Sustainability Awareness Drive"/>
    <n v="11.093962825047775"/>
  </r>
  <r>
    <s v="A4"/>
    <s v="YouTube"/>
    <s v="2024-08-12"/>
    <s v="Video"/>
    <x v="3"/>
    <s v="iPadPro"/>
    <n v="3581"/>
    <n v="517"/>
    <n v="880"/>
    <n v="1925"/>
    <n v="18636"/>
    <n v="248611"/>
    <s v="iPhone 16 Launch"/>
    <n v="2.0023249172401862"/>
  </r>
  <r>
    <s v="A5"/>
    <s v="YouTube"/>
    <d v="2025-09-04T00:00:00"/>
    <s v="Video"/>
    <x v="0"/>
    <s v="HealthTech"/>
    <n v="21708"/>
    <n v="435"/>
    <n v="317"/>
    <n v="1213"/>
    <n v="70701"/>
    <n v="83585"/>
    <s v="Apple Event September 2025"/>
    <n v="26.870850032900641"/>
  </r>
  <r>
    <s v="A6"/>
    <s v="LinkedIn"/>
    <d v="2025-09-05T00:00:00"/>
    <s v="Image"/>
    <x v="4"/>
    <m/>
    <n v="14677"/>
    <n v="533"/>
    <n v="759"/>
    <n v="753"/>
    <n v="23275"/>
    <n v="66958"/>
    <s v="Apple Event September 2025"/>
    <n v="23.849278652289495"/>
  </r>
  <r>
    <s v="A7"/>
    <s v="Instagram"/>
    <s v="2024-06-24"/>
    <s v="Carousel"/>
    <x v="5"/>
    <s v="AppleLifestyle"/>
    <n v="7713"/>
    <n v="575"/>
    <n v="417"/>
    <n v="336"/>
    <n v="61660"/>
    <n v="66017"/>
    <s v="iPhone 16 Launch"/>
    <n v="13.185997546086615"/>
  </r>
  <r>
    <s v="A8"/>
    <s v="Instagram"/>
    <s v="2024-07-13"/>
    <s v="Video"/>
    <x v="6"/>
    <s v="Health"/>
    <n v="18639"/>
    <n v="1360"/>
    <n v="898"/>
    <n v="2011"/>
    <n v="42841"/>
    <n v="247779"/>
    <s v="iPhone 16 Launch"/>
    <n v="8.4337252148083568"/>
  </r>
  <r>
    <s v="A9"/>
    <s v="YouTube"/>
    <s v="2024-08-30"/>
    <s v="Carousel"/>
    <x v="1"/>
    <s v="AppleInnovation"/>
    <n v="6804"/>
    <n v="787"/>
    <n v="970"/>
    <n v="1095"/>
    <n v="56343"/>
    <n v="164677"/>
    <s v="Apple Watch Ultra 2 Launch"/>
    <n v="5.1986616224487934"/>
  </r>
  <r>
    <s v="A10"/>
    <s v="Twitter"/>
    <s v="2025-03-11"/>
    <s v="Video"/>
    <x v="7"/>
    <s v="AppleEvent"/>
    <n v="20222"/>
    <n v="712"/>
    <n v="604"/>
    <n v="1272"/>
    <n v="71598"/>
    <n v="216422"/>
    <s v="Sustainability Awareness Drive"/>
    <n v="9.9518533235992646"/>
  </r>
  <r>
    <s v="A11"/>
    <s v="YouTube"/>
    <s v="2025-02-02"/>
    <s v="Carousel"/>
    <x v="3"/>
    <s v="iPadPro"/>
    <n v="12136"/>
    <n v="1117"/>
    <n v="834"/>
    <n v="892"/>
    <n v="24675"/>
    <n v="183273"/>
    <s v="Sustainability Awareness Drive"/>
    <n v="7.6863476889667322"/>
  </r>
  <r>
    <s v="A12"/>
    <s v="YouTube"/>
    <s v="2024-07-21"/>
    <s v="Tweet"/>
    <x v="1"/>
    <s v="AppleInnovation"/>
    <n v="2009"/>
    <n v="1072"/>
    <n v="550"/>
    <n v="1437"/>
    <n v="22982"/>
    <n v="69426"/>
    <s v="iPhone 16 Launch"/>
    <n v="5.2300290957278257"/>
  </r>
  <r>
    <s v="A13"/>
    <s v="YouTube"/>
    <s v="2024-11-18"/>
    <s v="Carousel"/>
    <x v="5"/>
    <s v="AppleLifestyle"/>
    <n v="21255"/>
    <n v="1452"/>
    <n v="625"/>
    <n v="1624"/>
    <n v="21282"/>
    <n v="57778"/>
    <s v="MacBook Air M3 Campaign"/>
    <n v="40.382152376337018"/>
  </r>
  <r>
    <s v="A14"/>
    <s v="YouTube"/>
    <d v="2025-09-06T00:00:00"/>
    <s v="Tweet"/>
    <x v="6"/>
    <s v="Health"/>
    <n v="7124"/>
    <n v="469"/>
    <n v="851"/>
    <n v="2571"/>
    <n v="33802"/>
    <n v="216313"/>
    <s v="Apple Event September 2025"/>
    <n v="3.903602649863855"/>
  </r>
  <r>
    <s v="A15"/>
    <s v="LinkedIn"/>
    <d v="2025-09-07T00:00:00"/>
    <s v="Tweet"/>
    <x v="2"/>
    <s v="Innovation"/>
    <n v="3015"/>
    <n v="997"/>
    <n v="783"/>
    <n v="617"/>
    <n v="77167"/>
    <n v="82229"/>
    <s v="Apple Event September 2025"/>
    <n v="5.8312760704860818"/>
  </r>
  <r>
    <s v="A16"/>
    <s v="Instagram"/>
    <s v="2024-08-26"/>
    <s v="Carousel"/>
    <x v="6"/>
    <s v="Health"/>
    <n v="4193"/>
    <n v="924"/>
    <n v="707"/>
    <n v="2696"/>
    <n v="55075"/>
    <n v="126652"/>
    <s v="iPhone 16 Launch"/>
    <n v="4.5984271863057824"/>
  </r>
  <r>
    <s v="A17"/>
    <s v="LinkedIn"/>
    <s v="2025-05-05"/>
    <s v="Tweet"/>
    <x v="3"/>
    <s v="iPhone16"/>
    <n v="10415"/>
    <n v="1388"/>
    <n v="725"/>
    <n v="2462"/>
    <n v="53082"/>
    <n v="168267"/>
    <s v="MacBook Air M3 Campaign"/>
    <n v="7.4453101321114659"/>
  </r>
  <r>
    <s v="A18"/>
    <s v="LinkedIn"/>
    <s v="2024-08-19"/>
    <s v="Image"/>
    <x v="6"/>
    <s v="Health"/>
    <n v="15550"/>
    <n v="204"/>
    <n v="279"/>
    <n v="1646"/>
    <n v="35819"/>
    <n v="219436"/>
    <s v="Apple Watch Ultra 2 Launch"/>
    <n v="7.3064583751070931"/>
  </r>
  <r>
    <s v="A19"/>
    <s v="LinkedIn"/>
    <s v="2024-06-23"/>
    <s v="Tweet"/>
    <x v="3"/>
    <s v="iPhone16"/>
    <n v="16512"/>
    <n v="1050"/>
    <n v="971"/>
    <n v="1891"/>
    <n v="15865"/>
    <n v="166503"/>
    <s v="iPhone 16 Launch"/>
    <n v="11.13073037723044"/>
  </r>
  <r>
    <s v="A20"/>
    <s v="YouTube"/>
    <s v="2024-09-09"/>
    <s v="Video"/>
    <x v="2"/>
    <s v="Innovation"/>
    <n v="6158"/>
    <n v="277"/>
    <n v="512"/>
    <n v="2189"/>
    <n v="76881"/>
    <n v="124878"/>
    <s v="iPhone 16 Launch"/>
    <n v="5.5630295168084052"/>
  </r>
  <r>
    <s v="A21"/>
    <s v="Twitter"/>
    <d v="2025-09-08T00:00:00"/>
    <s v="Carousel"/>
    <x v="8"/>
    <s v="ShotOniPhone"/>
    <n v="22309"/>
    <n v="773"/>
    <n v="854"/>
    <n v="2387"/>
    <n v="72396"/>
    <n v="97056"/>
    <s v="Apple Event September 2025"/>
    <n v="24.662050774810417"/>
  </r>
  <r>
    <s v="A22"/>
    <s v="Instagram"/>
    <s v="2025-02-27"/>
    <s v="Image"/>
    <x v="5"/>
    <s v="AppleLifestyle"/>
    <n v="8970"/>
    <n v="331"/>
    <n v="968"/>
    <n v="2296"/>
    <n v="24613"/>
    <n v="198562"/>
    <s v="iPhone 16 Launch"/>
    <n v="5.1716844109144757"/>
  </r>
  <r>
    <s v="A23"/>
    <s v="Twitter"/>
    <s v="2024-11-06"/>
    <s v="Carousel"/>
    <x v="3"/>
    <s v="iPhone16"/>
    <n v="8938"/>
    <n v="800"/>
    <n v="842"/>
    <n v="2072"/>
    <n v="31736"/>
    <n v="59975"/>
    <s v="iPhone 16 Launch"/>
    <n v="17.64068361817424"/>
  </r>
  <r>
    <s v="A24"/>
    <s v="LinkedIn"/>
    <s v="2025-01-23"/>
    <s v="Video"/>
    <x v="7"/>
    <s v="AppleEvent"/>
    <n v="23168"/>
    <n v="1265"/>
    <n v="441"/>
    <n v="1612"/>
    <n v="66615"/>
    <n v="197795"/>
    <s v="iPhone 16 Launch"/>
    <n v="12.57564650269218"/>
  </r>
  <r>
    <s v="A25"/>
    <s v="LinkedIn"/>
    <d v="2025-09-09T00:00:00"/>
    <s v="Video"/>
    <x v="6"/>
    <s v="Health"/>
    <n v="15772"/>
    <n v="288"/>
    <n v="520"/>
    <n v="1585"/>
    <n v="59182"/>
    <n v="194351"/>
    <s v="Apple Event September 2025"/>
    <n v="8.530956876990599"/>
  </r>
  <r>
    <s v="A26"/>
    <s v="Twitter"/>
    <s v="2025-04-05"/>
    <s v="Video"/>
    <x v="6"/>
    <s v="Health"/>
    <n v="22384"/>
    <n v="601"/>
    <n v="943"/>
    <n v="515"/>
    <n v="41309"/>
    <n v="249373"/>
    <s v="Apple Watch Ultra 2 Launch"/>
    <n v="9.595264924430472"/>
  </r>
  <r>
    <s v="A27"/>
    <s v="Twitter"/>
    <s v="2024-09-17"/>
    <s v="Tweet"/>
    <x v="7"/>
    <s v="AppleEvent"/>
    <n v="20017"/>
    <n v="495"/>
    <n v="178"/>
    <n v="2683"/>
    <n v="32244"/>
    <n v="182633"/>
    <s v="Apple Watch Ultra 2 Launch"/>
    <n v="11.32873029518214"/>
  </r>
  <r>
    <s v="A28"/>
    <s v="Twitter"/>
    <s v="2025-03-04"/>
    <s v="Tweet"/>
    <x v="4"/>
    <m/>
    <n v="12344"/>
    <n v="815"/>
    <n v="298"/>
    <n v="2439"/>
    <n v="6259"/>
    <n v="237133"/>
    <s v="iPhone 16 Launch"/>
    <n v="5.6748744375519227"/>
  </r>
  <r>
    <s v="A29"/>
    <s v="LinkedIn"/>
    <d v="2025-09-10T00:00:00"/>
    <s v="Carousel"/>
    <x v="9"/>
    <m/>
    <n v="9266"/>
    <n v="999"/>
    <n v="928"/>
    <n v="2700"/>
    <n v="12264"/>
    <n v="128397"/>
    <s v="Apple Event September 2025"/>
    <n v="8.7174933993784904"/>
  </r>
  <r>
    <s v="A30"/>
    <s v="LinkedIn"/>
    <s v="2025-02-25"/>
    <s v="Carousel"/>
    <x v="8"/>
    <s v="ShotOniPhone"/>
    <n v="10702"/>
    <n v="621"/>
    <n v="445"/>
    <n v="2918"/>
    <n v="54808"/>
    <n v="220225"/>
    <s v="Apple Watch Ultra 2 Launch"/>
    <n v="5.3436258372119427"/>
  </r>
  <r>
    <s v="A31"/>
    <s v="Instagram"/>
    <s v="2024-12-16"/>
    <s v="Image"/>
    <x v="3"/>
    <s v="iPadPro"/>
    <n v="2384"/>
    <n v="1246"/>
    <n v="160"/>
    <n v="2004"/>
    <n v="2701"/>
    <n v="73142"/>
    <s v="Apple Watch Ultra 2 Launch"/>
    <n v="5.1817013480626724"/>
  </r>
  <r>
    <s v="A32"/>
    <s v="Instagram"/>
    <s v="2024-07-31"/>
    <s v="Image"/>
    <x v="3"/>
    <s v="iPhone16"/>
    <n v="2404"/>
    <n v="774"/>
    <n v="661"/>
    <n v="662"/>
    <n v="12676"/>
    <n v="66916"/>
    <s v="Apple Watch Ultra 2 Launch"/>
    <n v="5.7370434574690652"/>
  </r>
  <r>
    <s v="A33"/>
    <s v="LinkedIn"/>
    <d v="2025-09-11T00:00:00"/>
    <s v="Carousel"/>
    <x v="7"/>
    <s v="AppleEvent"/>
    <n v="10175"/>
    <n v="342"/>
    <n v="825"/>
    <n v="2904"/>
    <n v="15954"/>
    <n v="104324"/>
    <s v="Apple Event September 2025"/>
    <n v="10.871899083624093"/>
  </r>
  <r>
    <s v="A34"/>
    <s v="Twitter"/>
    <d v="2025-09-12T00:00:00"/>
    <s v="Tweet"/>
    <x v="2"/>
    <s v="Innovation"/>
    <n v="17158"/>
    <n v="1192"/>
    <n v="262"/>
    <n v="2016"/>
    <n v="28771"/>
    <n v="216037"/>
    <s v="Apple Event September 2025"/>
    <n v="8.6151909163708069"/>
  </r>
  <r>
    <s v="A35"/>
    <s v="Twitter"/>
    <s v="2024-11-30"/>
    <s v="Video"/>
    <x v="3"/>
    <s v="iPhone16"/>
    <n v="14763"/>
    <n v="864"/>
    <n v="336"/>
    <n v="1493"/>
    <n v="33310"/>
    <n v="165932"/>
    <s v="iPhone 16 Launch"/>
    <n v="9.6202058674637794"/>
  </r>
  <r>
    <s v="A36"/>
    <s v="Instagram"/>
    <s v="2025-04-19"/>
    <s v="Carousel"/>
    <x v="9"/>
    <m/>
    <n v="20384"/>
    <n v="344"/>
    <n v="956"/>
    <n v="655"/>
    <n v="67621"/>
    <n v="175720"/>
    <s v="Sustainability Awareness Drive"/>
    <n v="12.340086501251992"/>
  </r>
  <r>
    <s v="A37"/>
    <s v="LinkedIn"/>
    <s v="2025-01-06"/>
    <s v="Image"/>
    <x v="2"/>
    <s v="Innovation"/>
    <n v="11860"/>
    <n v="1448"/>
    <n v="893"/>
    <n v="490"/>
    <n v="23518"/>
    <n v="206205"/>
    <s v="Apple Watch Ultra 2 Launch"/>
    <n v="6.8868359157149435"/>
  </r>
  <r>
    <s v="A38"/>
    <s v="Instagram"/>
    <s v="2025-02-17"/>
    <s v="Tweet"/>
    <x v="1"/>
    <s v="AppleInnovation"/>
    <n v="7989"/>
    <n v="1206"/>
    <n v="376"/>
    <n v="2769"/>
    <n v="27550"/>
    <n v="221749"/>
    <s v="Sustainability Awareness Drive"/>
    <n v="4.3161412227338118"/>
  </r>
  <r>
    <s v="A39"/>
    <s v="Instagram"/>
    <d v="2025-09-13T00:00:00"/>
    <s v="Carousel"/>
    <x v="5"/>
    <s v="AppleLifestyle"/>
    <n v="17106"/>
    <n v="702"/>
    <n v="459"/>
    <n v="999"/>
    <n v="59627"/>
    <n v="136059"/>
    <s v="Apple Event September 2025"/>
    <n v="13.425793222058077"/>
  </r>
  <r>
    <s v="A40"/>
    <s v="YouTube"/>
    <d v="2025-09-14T00:00:00"/>
    <s v="Carousel"/>
    <x v="6"/>
    <s v="Health"/>
    <n v="19844"/>
    <n v="1020"/>
    <n v="247"/>
    <n v="2354"/>
    <n v="37792"/>
    <n v="138317"/>
    <s v="Apple Event September 2025"/>
    <n v="15.262765965138053"/>
  </r>
  <r>
    <s v="A41"/>
    <s v="YouTube"/>
    <d v="2025-09-15T00:00:00"/>
    <s v="Tweet"/>
    <x v="1"/>
    <s v="AppleInnovation"/>
    <n v="5636"/>
    <n v="303"/>
    <n v="204"/>
    <n v="2480"/>
    <n v="7377"/>
    <n v="241207"/>
    <s v="Apple Event September 2025"/>
    <n v="2.5467751765081443"/>
  </r>
  <r>
    <s v="A42"/>
    <s v="YouTube"/>
    <s v="2025-03-05"/>
    <s v="Carousel"/>
    <x v="3"/>
    <s v="iPhone16"/>
    <n v="12916"/>
    <n v="1262"/>
    <n v="772"/>
    <n v="856"/>
    <n v="11496"/>
    <n v="75046"/>
    <s v="Sustainability Awareness Drive"/>
    <n v="19.921115049436349"/>
  </r>
  <r>
    <s v="A43"/>
    <s v="Twitter"/>
    <d v="2025-09-16T00:00:00"/>
    <s v="Tweet"/>
    <x v="9"/>
    <m/>
    <n v="6809"/>
    <n v="397"/>
    <n v="813"/>
    <n v="1125"/>
    <n v="12206"/>
    <n v="218136"/>
    <s v="Apple Event September 2025"/>
    <n v="3.6761469908680824"/>
  </r>
  <r>
    <s v="A44"/>
    <s v="LinkedIn"/>
    <s v="2025-03-02"/>
    <s v="Video"/>
    <x v="8"/>
    <s v="ShotOniPhone"/>
    <n v="22562"/>
    <n v="778"/>
    <n v="907"/>
    <n v="1354"/>
    <n v="34475"/>
    <n v="141459"/>
    <s v="iPhone 16 Launch"/>
    <n v="17.140655596321196"/>
  </r>
  <r>
    <s v="A45"/>
    <s v="LinkedIn"/>
    <d v="2025-09-17T00:00:00"/>
    <s v="Tweet"/>
    <x v="5"/>
    <s v="AppleLifestyle"/>
    <n v="15456"/>
    <n v="590"/>
    <n v="555"/>
    <n v="2882"/>
    <n v="49816"/>
    <n v="240422"/>
    <s v="Apple Event September 2025"/>
    <n v="6.9049421433978591"/>
  </r>
  <r>
    <s v="A46"/>
    <s v="LinkedIn"/>
    <s v="2025-05-02"/>
    <s v="Tweet"/>
    <x v="3"/>
    <s v="iPhone16"/>
    <n v="17444"/>
    <n v="1402"/>
    <n v="218"/>
    <n v="725"/>
    <n v="8710"/>
    <n v="85893"/>
    <s v="MacBook Air M3 Campaign"/>
    <n v="22.195056640238437"/>
  </r>
  <r>
    <s v="A47"/>
    <s v="LinkedIn"/>
    <s v="2025-02-24"/>
    <s v="Tweet"/>
    <x v="7"/>
    <s v="AppleEvent"/>
    <n v="24984"/>
    <n v="753"/>
    <n v="461"/>
    <n v="2710"/>
    <n v="20792"/>
    <n v="141520"/>
    <s v="Sustainability Awareness Drive"/>
    <n v="18.511871113623517"/>
  </r>
  <r>
    <s v="A48"/>
    <s v="YouTube"/>
    <s v="2025-03-11"/>
    <s v="Carousel"/>
    <x v="0"/>
    <s v="HealthTech"/>
    <n v="7997"/>
    <n v="1238"/>
    <n v="438"/>
    <n v="1874"/>
    <n v="36272"/>
    <n v="165818"/>
    <s v="MacBook Air M3 Campaign"/>
    <n v="5.8335042034037317"/>
  </r>
  <r>
    <s v="A49"/>
    <s v="Twitter"/>
    <d v="2025-09-18T00:00:00"/>
    <s v="Carousel"/>
    <x v="3"/>
    <s v="iPhone16"/>
    <n v="4048"/>
    <n v="677"/>
    <n v="911"/>
    <n v="2429"/>
    <n v="27361"/>
    <n v="101272"/>
    <s v="Apple Event September 2025"/>
    <n v="5.5652105221581483"/>
  </r>
  <r>
    <s v="A50"/>
    <s v="Twitter"/>
    <s v="2024-07-03"/>
    <s v="Tweet"/>
    <x v="5"/>
    <s v="AppleLifestyle"/>
    <n v="14338"/>
    <n v="1454"/>
    <n v="697"/>
    <n v="2703"/>
    <n v="21288"/>
    <n v="107649"/>
    <s v="iPhone 16 Launch"/>
    <n v="15.317374058282009"/>
  </r>
  <r>
    <s v="A51"/>
    <s v="YouTube"/>
    <s v="2024-06-13"/>
    <s v="Carousel"/>
    <x v="6"/>
    <s v="Health"/>
    <n v="23164"/>
    <n v="1122"/>
    <n v="900"/>
    <n v="888"/>
    <n v="36938"/>
    <n v="104674"/>
    <s v="Apple Watch Ultra 2 Launch"/>
    <n v="24.061371496264595"/>
  </r>
  <r>
    <s v="A52"/>
    <s v="Twitter"/>
    <d v="2025-09-19T00:00:00"/>
    <s v="Image"/>
    <x v="6"/>
    <s v="Health"/>
    <n v="19100"/>
    <n v="619"/>
    <n v="297"/>
    <n v="2312"/>
    <n v="9730"/>
    <n v="184832"/>
    <s v="Apple Event September 2025"/>
    <n v="10.829293628808864"/>
  </r>
  <r>
    <s v="A53"/>
    <s v="YouTube"/>
    <s v="2025-02-24"/>
    <s v="Image"/>
    <x v="3"/>
    <s v="iPhone16"/>
    <n v="23949"/>
    <n v="356"/>
    <n v="616"/>
    <n v="1847"/>
    <n v="3144"/>
    <n v="192999"/>
    <s v="iPhone 16 Launch"/>
    <n v="12.912502137316773"/>
  </r>
  <r>
    <s v="A54"/>
    <s v="LinkedIn"/>
    <s v="2025-03-13"/>
    <s v="Carousel"/>
    <x v="2"/>
    <s v="Innovation"/>
    <n v="6544"/>
    <n v="749"/>
    <n v="888"/>
    <n v="594"/>
    <n v="18171"/>
    <n v="126475"/>
    <s v="Sustainability Awareness Drive"/>
    <n v="6.4684720300454632"/>
  </r>
  <r>
    <s v="A55"/>
    <s v="YouTube"/>
    <s v="2024-06-17"/>
    <s v="Carousel"/>
    <x v="0"/>
    <s v="HealthTech"/>
    <n v="6976"/>
    <n v="1320"/>
    <n v="393"/>
    <n v="2285"/>
    <n v="14049"/>
    <n v="101367"/>
    <s v="MacBook Air M3 Campaign"/>
    <n v="8.5718231771681115"/>
  </r>
  <r>
    <s v="A56"/>
    <s v="LinkedIn"/>
    <s v="2024-12-18"/>
    <s v="Tweet"/>
    <x v="7"/>
    <s v="AppleEvent"/>
    <n v="14775"/>
    <n v="1220"/>
    <n v="640"/>
    <n v="1547"/>
    <n v="28527"/>
    <n v="183660"/>
    <s v="MacBook Air M3 Campaign"/>
    <n v="9.0574975498203205"/>
  </r>
  <r>
    <s v="A57"/>
    <s v="LinkedIn"/>
    <s v="2024-10-21"/>
    <s v="Video"/>
    <x v="3"/>
    <s v="iPhone16"/>
    <n v="12015"/>
    <n v="1196"/>
    <n v="998"/>
    <n v="1848"/>
    <n v="44739"/>
    <n v="161750"/>
    <s v="MacBook Air M3 Campaign"/>
    <n v="8.7845440494590417"/>
  </r>
  <r>
    <s v="A58"/>
    <s v="Instagram"/>
    <s v="2025-04-15"/>
    <s v="Carousel"/>
    <x v="2"/>
    <s v="Innovation"/>
    <n v="5419"/>
    <n v="1150"/>
    <n v="656"/>
    <n v="1990"/>
    <n v="410"/>
    <n v="158154"/>
    <s v="Sustainability Awareness Drive"/>
    <n v="4.5683321319726344"/>
  </r>
  <r>
    <s v="A59"/>
    <s v="YouTube"/>
    <s v="2024-06-22"/>
    <s v="Image"/>
    <x v="6"/>
    <s v="Health"/>
    <n v="16430"/>
    <n v="488"/>
    <n v="514"/>
    <n v="1436"/>
    <n v="30059"/>
    <n v="223305"/>
    <s v="iPhone 16 Launch"/>
    <n v="7.8063634938760877"/>
  </r>
  <r>
    <s v="A60"/>
    <s v="Instagram"/>
    <s v="2025-01-28"/>
    <s v="Tweet"/>
    <x v="6"/>
    <s v="Health"/>
    <n v="9239"/>
    <n v="1477"/>
    <n v="631"/>
    <n v="1556"/>
    <n v="11580"/>
    <n v="84738"/>
    <s v="Sustainability Awareness Drive"/>
    <n v="13.390686586891359"/>
  </r>
  <r>
    <s v="A61"/>
    <s v="YouTube"/>
    <s v="2024-09-05"/>
    <s v="Carousel"/>
    <x v="9"/>
    <m/>
    <n v="16489"/>
    <n v="395"/>
    <n v="350"/>
    <n v="2364"/>
    <n v="43239"/>
    <n v="73397"/>
    <s v="MacBook Air M3 Campaign"/>
    <n v="23.48052372712781"/>
  </r>
  <r>
    <s v="A62"/>
    <s v="YouTube"/>
    <d v="2025-09-20T00:00:00"/>
    <s v="Image"/>
    <x v="3"/>
    <s v="iPhone16"/>
    <n v="18633"/>
    <n v="797"/>
    <n v="303"/>
    <n v="659"/>
    <n v="7"/>
    <n v="122189"/>
    <s v="Apple Event September 2025"/>
    <n v="16.14957156536186"/>
  </r>
  <r>
    <s v="A63"/>
    <s v="Instagram"/>
    <s v="2024-07-31"/>
    <s v="Image"/>
    <x v="0"/>
    <s v="HealthTech"/>
    <n v="12357"/>
    <n v="716"/>
    <n v="599"/>
    <n v="999"/>
    <n v="89591"/>
    <n v="116367"/>
    <s v="Apple Watch Ultra 2 Launch"/>
    <n v="11.749035379446063"/>
  </r>
  <r>
    <s v="A64"/>
    <s v="Instagram"/>
    <s v="2024-08-17"/>
    <s v="Video"/>
    <x v="4"/>
    <m/>
    <n v="19154"/>
    <n v="1064"/>
    <n v="650"/>
    <n v="747"/>
    <n v="42667"/>
    <n v="242332"/>
    <s v="Sustainability Awareness Drive"/>
    <n v="8.6113266097750198"/>
  </r>
  <r>
    <s v="A65"/>
    <s v="YouTube"/>
    <s v="2025-03-28"/>
    <s v="Tweet"/>
    <x v="0"/>
    <s v="HealthTech"/>
    <n v="6363"/>
    <n v="1341"/>
    <n v="222"/>
    <n v="2712"/>
    <n v="19987"/>
    <n v="160585"/>
    <s v="Sustainability Awareness Drive"/>
    <n v="4.935703832861102"/>
  </r>
  <r>
    <s v="A66"/>
    <s v="Twitter"/>
    <s v="2024-07-26"/>
    <s v="Tweet"/>
    <x v="6"/>
    <s v="Health"/>
    <n v="12176"/>
    <n v="1005"/>
    <n v="862"/>
    <n v="974"/>
    <n v="2285"/>
    <n v="116619"/>
    <s v="iPhone 16 Launch"/>
    <n v="12.041777068916728"/>
  </r>
  <r>
    <s v="A67"/>
    <s v="LinkedIn"/>
    <s v="2025-03-29"/>
    <s v="Video"/>
    <x v="6"/>
    <s v="Health"/>
    <n v="19461"/>
    <n v="1382"/>
    <n v="445"/>
    <n v="1307"/>
    <n v="84691"/>
    <n v="151453"/>
    <s v="iPhone 16 Launch"/>
    <n v="14.055845707909384"/>
  </r>
  <r>
    <s v="A68"/>
    <s v="Instagram"/>
    <s v="2024-12-08"/>
    <s v="Video"/>
    <x v="1"/>
    <s v="AppleInnovation"/>
    <n v="10427"/>
    <n v="1014"/>
    <n v="166"/>
    <n v="1649"/>
    <n v="15145"/>
    <n v="59816"/>
    <s v="Sustainability Awareness Drive"/>
    <n v="19.404507155276178"/>
  </r>
  <r>
    <s v="A69"/>
    <s v="LinkedIn"/>
    <s v="2025-03-08"/>
    <s v="Tweet"/>
    <x v="6"/>
    <s v="Health"/>
    <n v="10580"/>
    <n v="427"/>
    <n v="790"/>
    <n v="2814"/>
    <n v="24916"/>
    <n v="213312"/>
    <s v="MacBook Air M3 Campaign"/>
    <n v="5.5303967896789681"/>
  </r>
  <r>
    <s v="A70"/>
    <s v="Twitter"/>
    <s v="2025-04-02"/>
    <s v="Tweet"/>
    <x v="7"/>
    <s v="AppleEvent"/>
    <n v="6858"/>
    <n v="415"/>
    <n v="366"/>
    <n v="2761"/>
    <n v="2988"/>
    <n v="177348"/>
    <s v="Apple Watch Ultra 2 Launch"/>
    <n v="4.3073505198818136"/>
  </r>
  <r>
    <s v="A71"/>
    <s v="Twitter"/>
    <s v="2024-09-02"/>
    <s v="Carousel"/>
    <x v="3"/>
    <s v="iPadPro"/>
    <n v="12040"/>
    <n v="1147"/>
    <n v="210"/>
    <n v="885"/>
    <n v="30360"/>
    <n v="119530"/>
    <s v="iPhone 16 Launch"/>
    <n v="11.20806492094035"/>
  </r>
  <r>
    <s v="A72"/>
    <s v="Twitter"/>
    <s v="2025-03-03"/>
    <s v="Carousel"/>
    <x v="3"/>
    <s v="iPhone16"/>
    <n v="24928"/>
    <n v="214"/>
    <n v="765"/>
    <n v="1556"/>
    <n v="5239"/>
    <n v="194571"/>
    <s v="MacBook Air M3 Campaign"/>
    <n v="13.314933880177415"/>
  </r>
  <r>
    <s v="A73"/>
    <s v="Instagram"/>
    <d v="2025-09-21T00:00:00"/>
    <s v="Video"/>
    <x v="0"/>
    <s v="HealthTech"/>
    <n v="23103"/>
    <n v="1380"/>
    <n v="191"/>
    <n v="1547"/>
    <n v="77798"/>
    <n v="148856"/>
    <s v="Apple Event September 2025"/>
    <n v="16.575751061428495"/>
  </r>
  <r>
    <s v="A74"/>
    <s v="Twitter"/>
    <s v="2024-10-28"/>
    <s v="Carousel"/>
    <x v="3"/>
    <s v="iPadPro"/>
    <n v="21198"/>
    <n v="1484"/>
    <n v="174"/>
    <n v="1293"/>
    <n v="16330"/>
    <n v="111635"/>
    <s v="iPhone 16 Launch"/>
    <n v="20.473865723115512"/>
  </r>
  <r>
    <s v="A75"/>
    <s v="Instagram"/>
    <s v="2024-08-01"/>
    <s v="Image"/>
    <x v="2"/>
    <s v="Innovation"/>
    <n v="21758"/>
    <n v="1380"/>
    <n v="188"/>
    <n v="1735"/>
    <n v="20998"/>
    <n v="147803"/>
    <s v="MacBook Air M3 Campaign"/>
    <n v="15.781817689762725"/>
  </r>
  <r>
    <s v="A76"/>
    <s v="Twitter"/>
    <s v="2024-11-07"/>
    <s v="Carousel"/>
    <x v="4"/>
    <m/>
    <n v="17254"/>
    <n v="246"/>
    <n v="952"/>
    <n v="871"/>
    <n v="14957"/>
    <n v="75946"/>
    <s v="MacBook Air M3 Campaign"/>
    <n v="24.296210465330631"/>
  </r>
  <r>
    <s v="A77"/>
    <s v="LinkedIn"/>
    <s v="2025-03-04"/>
    <s v="Carousel"/>
    <x v="7"/>
    <s v="AppleEvent"/>
    <n v="13470"/>
    <n v="523"/>
    <n v="280"/>
    <n v="2682"/>
    <n v="8538"/>
    <n v="95204"/>
    <s v="Apple Watch Ultra 2 Launch"/>
    <n v="14.992017142136884"/>
  </r>
  <r>
    <s v="A78"/>
    <s v="LinkedIn"/>
    <s v="2024-06-17"/>
    <s v="Image"/>
    <x v="5"/>
    <s v="AppleLifestyle"/>
    <n v="3252"/>
    <n v="1043"/>
    <n v="647"/>
    <n v="1545"/>
    <n v="18859"/>
    <n v="222958"/>
    <s v="Apple Watch Ultra 2 Launch"/>
    <n v="2.2165609666394568"/>
  </r>
  <r>
    <s v="A79"/>
    <s v="YouTube"/>
    <d v="2025-09-22T00:00:00"/>
    <s v="Video"/>
    <x v="10"/>
    <s v="AppleEarth"/>
    <n v="8996"/>
    <n v="329"/>
    <n v="378"/>
    <n v="2384"/>
    <n v="39404"/>
    <n v="242724"/>
    <s v="Apple Event September 2025"/>
    <n v="3.997544536181012"/>
  </r>
  <r>
    <s v="A80"/>
    <s v="LinkedIn"/>
    <s v="2024-06-13"/>
    <s v="Image"/>
    <x v="0"/>
    <s v="HealthTech"/>
    <n v="14173"/>
    <n v="294"/>
    <n v="257"/>
    <n v="1288"/>
    <n v="39466"/>
    <n v="55563"/>
    <s v="MacBook Air M3 Campaign"/>
    <n v="26.499649047027695"/>
  </r>
  <r>
    <s v="A81"/>
    <s v="YouTube"/>
    <s v="2024-10-19"/>
    <s v="Carousel"/>
    <x v="3"/>
    <s v="iPadPro"/>
    <n v="6673"/>
    <n v="826"/>
    <n v="321"/>
    <n v="577"/>
    <n v="19262"/>
    <n v="132324"/>
    <s v="MacBook Air M3 Campaign"/>
    <n v="5.9097367068710129"/>
  </r>
  <r>
    <s v="A82"/>
    <s v="LinkedIn"/>
    <s v="2024-07-24"/>
    <s v="Video"/>
    <x v="5"/>
    <s v="AppleLifestyle"/>
    <n v="22914"/>
    <n v="954"/>
    <n v="584"/>
    <n v="1519"/>
    <n v="13637"/>
    <n v="49847"/>
    <s v="Apple Watch Ultra 2 Launch"/>
    <n v="49.054105563022851"/>
  </r>
  <r>
    <s v="A83"/>
    <s v="Instagram"/>
    <s v="2024-10-15"/>
    <s v="Carousel"/>
    <x v="4"/>
    <m/>
    <n v="17781"/>
    <n v="993"/>
    <n v="627"/>
    <n v="2187"/>
    <n v="9609"/>
    <n v="66155"/>
    <s v="iPhone 16 Launch"/>
    <n v="29.326581513113144"/>
  </r>
  <r>
    <s v="A84"/>
    <s v="LinkedIn"/>
    <s v="2024-12-09"/>
    <s v="Image"/>
    <x v="1"/>
    <s v="AppleInnovation"/>
    <n v="15051"/>
    <n v="268"/>
    <n v="251"/>
    <n v="783"/>
    <n v="34154"/>
    <n v="119671"/>
    <s v="iPhone 16 Launch"/>
    <n v="13.010670922779955"/>
  </r>
  <r>
    <s v="A85"/>
    <s v="YouTube"/>
    <s v="2025-04-19"/>
    <s v="Image"/>
    <x v="5"/>
    <s v="AppleLifestyle"/>
    <n v="8881"/>
    <n v="210"/>
    <n v="673"/>
    <n v="1565"/>
    <n v="24847"/>
    <n v="156891"/>
    <s v="Sustainability Awareness Drive"/>
    <n v="6.2234290048505008"/>
  </r>
  <r>
    <s v="A86"/>
    <s v="YouTube"/>
    <s v="2025-01-27"/>
    <s v="Carousel"/>
    <x v="7"/>
    <s v="AppleEvent"/>
    <n v="8949"/>
    <n v="1477"/>
    <n v="424"/>
    <n v="1030"/>
    <n v="58052"/>
    <n v="123310"/>
    <s v="Apple Watch Ultra 2 Launch"/>
    <n v="8.798961965777309"/>
  </r>
  <r>
    <s v="A87"/>
    <s v="Twitter"/>
    <s v="2024-06-06"/>
    <s v="Tweet"/>
    <x v="7"/>
    <s v="AppleEvent"/>
    <n v="11521"/>
    <n v="1071"/>
    <n v="762"/>
    <n v="2539"/>
    <n v="12701"/>
    <n v="238350"/>
    <s v="Sustainability Awareness Drive"/>
    <n v="5.602685126914202"/>
  </r>
  <r>
    <s v="A88"/>
    <s v="Instagram"/>
    <s v="2024-07-07"/>
    <s v="Tweet"/>
    <x v="1"/>
    <s v="AppleInnovation"/>
    <n v="24625"/>
    <n v="749"/>
    <n v="193"/>
    <n v="1340"/>
    <n v="4890"/>
    <n v="189381"/>
    <s v="Apple Watch Ultra 2 Launch"/>
    <n v="13.500298340382615"/>
  </r>
  <r>
    <s v="A89"/>
    <s v="LinkedIn"/>
    <d v="2025-09-23T00:00:00"/>
    <s v="Image"/>
    <x v="10"/>
    <s v="AppleEarth"/>
    <n v="10017"/>
    <n v="1357"/>
    <n v="966"/>
    <n v="2871"/>
    <n v="14800"/>
    <n v="171691"/>
    <s v="Apple Event September 2025"/>
    <n v="7.1873307278774075"/>
  </r>
  <r>
    <s v="A90"/>
    <s v="Twitter"/>
    <s v="2024-06-03"/>
    <s v="Image"/>
    <x v="3"/>
    <s v="iPhone16"/>
    <n v="8941"/>
    <n v="911"/>
    <n v="166"/>
    <n v="1217"/>
    <n v="68817"/>
    <n v="221180"/>
    <s v="MacBook Air M3 Campaign"/>
    <n v="4.5293426168731354"/>
  </r>
  <r>
    <s v="A91"/>
    <s v="LinkedIn"/>
    <d v="2025-09-24T00:00:00"/>
    <s v="Tweet"/>
    <x v="5"/>
    <s v="AppleLifestyle"/>
    <n v="12209"/>
    <n v="222"/>
    <n v="479"/>
    <n v="2748"/>
    <n v="24615"/>
    <n v="74707"/>
    <s v="Apple Event September 2025"/>
    <n v="17.28084382989546"/>
  </r>
  <r>
    <s v="A92"/>
    <s v="LinkedIn"/>
    <s v="2024-10-21"/>
    <s v="Tweet"/>
    <x v="1"/>
    <s v="AppleInnovation"/>
    <n v="19715"/>
    <n v="1014"/>
    <n v="718"/>
    <n v="1185"/>
    <n v="37625"/>
    <n v="191409"/>
    <s v="Apple Watch Ultra 2 Launch"/>
    <n v="11.204802282024357"/>
  </r>
  <r>
    <s v="A93"/>
    <s v="Twitter"/>
    <s v="2024-12-11"/>
    <s v="Carousel"/>
    <x v="7"/>
    <s v="AppleEvent"/>
    <n v="22645"/>
    <n v="545"/>
    <n v="972"/>
    <n v="321"/>
    <n v="8396"/>
    <n v="121537"/>
    <s v="MacBook Air M3 Campaign"/>
    <n v="19.880365649966677"/>
  </r>
  <r>
    <s v="A94"/>
    <s v="Twitter"/>
    <s v="2024-11-07"/>
    <s v="Carousel"/>
    <x v="7"/>
    <s v="AppleEvent"/>
    <n v="11550"/>
    <n v="501"/>
    <n v="646"/>
    <n v="773"/>
    <n v="17841"/>
    <n v="237576"/>
    <s v="iPhone 16 Launch"/>
    <n v="5.3443950567397387"/>
  </r>
  <r>
    <s v="A95"/>
    <s v="Twitter"/>
    <s v="2024-11-08"/>
    <s v="Tweet"/>
    <x v="3"/>
    <s v="iPadPro"/>
    <n v="23499"/>
    <n v="562"/>
    <n v="964"/>
    <n v="2557"/>
    <n v="56890"/>
    <n v="218686"/>
    <s v="iPhone 16 Launch"/>
    <n v="11.443347996671026"/>
  </r>
  <r>
    <s v="A96"/>
    <s v="Twitter"/>
    <s v="2024-09-10"/>
    <s v="Carousel"/>
    <x v="6"/>
    <s v="Health"/>
    <n v="6637"/>
    <n v="595"/>
    <n v="161"/>
    <n v="2653"/>
    <n v="19334"/>
    <n v="131155"/>
    <s v="Sustainability Awareness Drive"/>
    <n v="5.6368419046166744"/>
  </r>
  <r>
    <s v="A97"/>
    <s v="Twitter"/>
    <s v="2024-08-13"/>
    <s v="Carousel"/>
    <x v="10"/>
    <s v="AppleEarth"/>
    <n v="6854"/>
    <n v="417"/>
    <n v="467"/>
    <n v="1003"/>
    <n v="61333"/>
    <n v="40281"/>
    <s v="Apple Watch Ultra 2 Launch"/>
    <n v="19.210049402944314"/>
  </r>
  <r>
    <s v="A98"/>
    <s v="LinkedIn"/>
    <s v="2024-06-10"/>
    <s v="Video"/>
    <x v="5"/>
    <s v="AppleLifestyle"/>
    <n v="21561"/>
    <n v="340"/>
    <n v="741"/>
    <n v="986"/>
    <n v="24826"/>
    <n v="198492"/>
    <s v="Apple Watch Ultra 2 Launch"/>
    <n v="11.40700884670415"/>
  </r>
  <r>
    <s v="A99"/>
    <s v="Twitter"/>
    <s v="2024-07-02"/>
    <s v="Carousel"/>
    <x v="5"/>
    <s v="AppleLifestyle"/>
    <n v="12320"/>
    <n v="1157"/>
    <n v="365"/>
    <n v="584"/>
    <n v="66634"/>
    <n v="210102"/>
    <s v="iPhone 16 Launch"/>
    <n v="6.5882285746922928"/>
  </r>
  <r>
    <s v="A100"/>
    <s v="Instagram"/>
    <d v="2025-09-25T00:00:00"/>
    <s v="Image"/>
    <x v="4"/>
    <m/>
    <n v="20564"/>
    <n v="1433"/>
    <n v="488"/>
    <n v="1015"/>
    <n v="24333"/>
    <n v="172130"/>
    <s v="Apple Event September 2025"/>
    <n v="13.062801371056759"/>
  </r>
  <r>
    <s v="A101"/>
    <s v="YouTube"/>
    <s v="2024-10-18"/>
    <s v="Carousel"/>
    <x v="1"/>
    <s v="AppleInnovation"/>
    <n v="6892"/>
    <n v="1184"/>
    <n v="925"/>
    <n v="1062"/>
    <n v="75008"/>
    <n v="116260"/>
    <s v="MacBook Air M3 Campaign"/>
    <n v="7.7421297092723202"/>
  </r>
  <r>
    <s v="A102"/>
    <s v="Twitter"/>
    <d v="2025-09-26T00:00:00"/>
    <s v="Carousel"/>
    <x v="4"/>
    <m/>
    <n v="9043"/>
    <n v="1192"/>
    <n v="810"/>
    <n v="1550"/>
    <n v="5221"/>
    <n v="199476"/>
    <s v="Apple Event September 2025"/>
    <n v="5.5370069582305641"/>
  </r>
  <r>
    <s v="A103"/>
    <s v="Twitter"/>
    <d v="2025-09-27T00:00:00"/>
    <s v="Tweet"/>
    <x v="1"/>
    <s v="AppleInnovation"/>
    <n v="18521"/>
    <n v="1027"/>
    <n v="230"/>
    <n v="1247"/>
    <n v="39588"/>
    <n v="200928"/>
    <s v="Apple Event September 2025"/>
    <n v="9.8433269628921813"/>
  </r>
  <r>
    <s v="A104"/>
    <s v="LinkedIn"/>
    <s v="2025-03-23"/>
    <s v="Image"/>
    <x v="2"/>
    <s v="Innovation"/>
    <n v="24711"/>
    <n v="882"/>
    <n v="876"/>
    <n v="2728"/>
    <n v="32015"/>
    <n v="180272"/>
    <s v="iPhone 16 Launch"/>
    <n v="14.68281263867933"/>
  </r>
  <r>
    <s v="A105"/>
    <s v="Twitter"/>
    <s v="2024-06-14"/>
    <s v="Carousel"/>
    <x v="7"/>
    <s v="AppleEvent"/>
    <n v="21856"/>
    <n v="1203"/>
    <n v="634"/>
    <n v="2807"/>
    <n v="3647"/>
    <n v="104178"/>
    <s v="iPhone 16 Launch"/>
    <n v="22.742805582752595"/>
  </r>
  <r>
    <s v="A106"/>
    <s v="Twitter"/>
    <s v="2025-02-04"/>
    <s v="Carousel"/>
    <x v="6"/>
    <s v="Health"/>
    <n v="23833"/>
    <n v="555"/>
    <n v="523"/>
    <n v="1330"/>
    <n v="69141"/>
    <n v="73997"/>
    <s v="iPhone 16 Launch"/>
    <n v="33.664878305877266"/>
  </r>
  <r>
    <s v="A107"/>
    <s v="Twitter"/>
    <s v="2024-06-21"/>
    <s v="Video"/>
    <x v="3"/>
    <s v="iPadPro"/>
    <n v="21216"/>
    <n v="1207"/>
    <n v="859"/>
    <n v="328"/>
    <n v="91296"/>
    <n v="196683"/>
    <s v="Sustainability Awareness Drive"/>
    <n v="11.837321985123269"/>
  </r>
  <r>
    <s v="A108"/>
    <s v="LinkedIn"/>
    <d v="2025-09-28T00:00:00"/>
    <s v="Carousel"/>
    <x v="6"/>
    <s v="Health"/>
    <n v="21963"/>
    <n v="1356"/>
    <n v="349"/>
    <n v="1206"/>
    <n v="51755"/>
    <n v="159273"/>
    <s v="Apple Event September 2025"/>
    <n v="14.860020216860359"/>
  </r>
  <r>
    <s v="A109"/>
    <s v="Twitter"/>
    <s v="2024-08-08"/>
    <s v="Carousel"/>
    <x v="6"/>
    <s v="Health"/>
    <n v="24355"/>
    <n v="1087"/>
    <n v="686"/>
    <n v="2426"/>
    <n v="24963"/>
    <n v="212307"/>
    <s v="Apple Watch Ultra 2 Launch"/>
    <n v="12.306706797232311"/>
  </r>
  <r>
    <s v="A110"/>
    <s v="YouTube"/>
    <s v="2024-07-29"/>
    <s v="Video"/>
    <x v="6"/>
    <s v="Health"/>
    <n v="6164"/>
    <n v="326"/>
    <n v="615"/>
    <n v="2806"/>
    <n v="38579"/>
    <n v="206129"/>
    <s v="MacBook Air M3 Campaign"/>
    <n v="3.4468706489625425"/>
  </r>
  <r>
    <s v="A111"/>
    <s v="LinkedIn"/>
    <s v="2024-11-23"/>
    <s v="Tweet"/>
    <x v="4"/>
    <m/>
    <n v="9941"/>
    <n v="1329"/>
    <n v="238"/>
    <n v="869"/>
    <n v="40281"/>
    <n v="172311"/>
    <s v="Sustainability Awareness Drive"/>
    <n v="6.67862179431377"/>
  </r>
  <r>
    <s v="A112"/>
    <s v="YouTube"/>
    <s v="2024-10-05"/>
    <s v="Carousel"/>
    <x v="1"/>
    <s v="AppleInnovation"/>
    <n v="16388"/>
    <n v="1208"/>
    <n v="417"/>
    <n v="2306"/>
    <n v="16865"/>
    <n v="236733"/>
    <s v="Apple Watch Ultra 2 Launch"/>
    <n v="7.608994098837087"/>
  </r>
  <r>
    <s v="A113"/>
    <s v="LinkedIn"/>
    <d v="2025-09-29T00:00:00"/>
    <s v="Video"/>
    <x v="8"/>
    <s v="ShotOniPhone"/>
    <n v="7569"/>
    <n v="803"/>
    <n v="804"/>
    <n v="1753"/>
    <n v="43582"/>
    <n v="166945"/>
    <s v="Apple Event September 2025"/>
    <n v="5.4964209769684631"/>
  </r>
  <r>
    <s v="A114"/>
    <s v="Twitter"/>
    <s v="2024-11-14"/>
    <s v="Image"/>
    <x v="2"/>
    <s v="Innovation"/>
    <n v="6300"/>
    <n v="1213"/>
    <n v="720"/>
    <n v="1037"/>
    <n v="39569"/>
    <n v="85272"/>
    <s v="iPhone 16 Launch"/>
    <n v="9.6549863964724647"/>
  </r>
  <r>
    <s v="A115"/>
    <s v="YouTube"/>
    <d v="2025-09-30T00:00:00"/>
    <s v="Tweet"/>
    <x v="0"/>
    <s v="HealthTech"/>
    <n v="8269"/>
    <n v="250"/>
    <n v="638"/>
    <n v="815"/>
    <n v="41991"/>
    <n v="129393"/>
    <s v="Apple Event September 2025"/>
    <n v="7.0768897853825177"/>
  </r>
  <r>
    <s v="A116"/>
    <s v="LinkedIn"/>
    <s v="2025-03-18"/>
    <s v="Image"/>
    <x v="6"/>
    <s v="Health"/>
    <n v="5818"/>
    <n v="1252"/>
    <n v="687"/>
    <n v="2300"/>
    <n v="25081"/>
    <n v="101212"/>
    <s v="MacBook Air M3 Campaign"/>
    <n v="7.6641109749832044"/>
  </r>
  <r>
    <s v="A117"/>
    <s v="Instagram"/>
    <s v="2024-11-04"/>
    <s v="Image"/>
    <x v="3"/>
    <s v="iPhone16"/>
    <n v="14015"/>
    <n v="978"/>
    <n v="196"/>
    <n v="2744"/>
    <n v="20190"/>
    <n v="186470"/>
    <s v="Sustainability Awareness Drive"/>
    <n v="8.1455462004611991"/>
  </r>
  <r>
    <s v="A118"/>
    <s v="Twitter"/>
    <s v="2024-11-04"/>
    <s v="Video"/>
    <x v="4"/>
    <m/>
    <n v="14234"/>
    <n v="1013"/>
    <n v="437"/>
    <n v="338"/>
    <n v="67754"/>
    <n v="160030"/>
    <s v="Sustainability Awareness Drive"/>
    <n v="9.8006623758045368"/>
  </r>
  <r>
    <s v="A119"/>
    <s v="LinkedIn"/>
    <s v="2025-02-07"/>
    <s v="Carousel"/>
    <x v="10"/>
    <s v="AppleEarth"/>
    <n v="20290"/>
    <n v="619"/>
    <n v="927"/>
    <n v="1186"/>
    <n v="8924"/>
    <n v="96503"/>
    <s v="MacBook Air M3 Campaign"/>
    <n v="22.627275835984374"/>
  </r>
  <r>
    <s v="A120"/>
    <s v="Instagram"/>
    <s v="2024-10-21"/>
    <s v="Video"/>
    <x v="3"/>
    <s v="iPadPro"/>
    <n v="8254"/>
    <n v="1405"/>
    <n v="165"/>
    <n v="2504"/>
    <n v="8081"/>
    <n v="177710"/>
    <s v="Apple Watch Ultra 2 Launch"/>
    <n v="5.5281075910190758"/>
  </r>
  <r>
    <s v="A121"/>
    <s v="LinkedIn"/>
    <s v="2024-07-29"/>
    <s v="Video"/>
    <x v="0"/>
    <s v="HealthTech"/>
    <n v="19144"/>
    <n v="1182"/>
    <n v="860"/>
    <n v="1398"/>
    <n v="4185"/>
    <n v="46570"/>
    <s v="Apple Watch Ultra 2 Launch"/>
    <n v="45.492806527807602"/>
  </r>
  <r>
    <s v="A122"/>
    <s v="Instagram"/>
    <s v="2024-10-02"/>
    <s v="Video"/>
    <x v="8"/>
    <s v="ShotOniPhone"/>
    <n v="9350"/>
    <n v="1024"/>
    <n v="550"/>
    <n v="2123"/>
    <n v="53916"/>
    <n v="108785"/>
    <s v="Sustainability Awareness Drive"/>
    <n v="10.041825619340901"/>
  </r>
  <r>
    <s v="A123"/>
    <s v="Twitter"/>
    <s v="2024-06-14"/>
    <s v="Video"/>
    <x v="3"/>
    <s v="iPhone16"/>
    <n v="17183"/>
    <n v="1224"/>
    <n v="943"/>
    <n v="2010"/>
    <n v="21481"/>
    <n v="49110"/>
    <s v="Sustainability Awareness Drive"/>
    <n v="39.401343921808184"/>
  </r>
  <r>
    <s v="A124"/>
    <s v="YouTube"/>
    <s v="2025-04-06"/>
    <s v="Tweet"/>
    <x v="8"/>
    <s v="ShotOniPhone"/>
    <n v="8238"/>
    <n v="766"/>
    <n v="235"/>
    <n v="1273"/>
    <n v="4706"/>
    <n v="119141"/>
    <s v="iPhone 16 Launch"/>
    <n v="7.7546772311798629"/>
  </r>
  <r>
    <s v="A125"/>
    <s v="Instagram"/>
    <s v="2024-09-08"/>
    <s v="Carousel"/>
    <x v="0"/>
    <s v="HealthTech"/>
    <n v="8090"/>
    <n v="570"/>
    <n v="399"/>
    <n v="1862"/>
    <n v="34088"/>
    <n v="52115"/>
    <s v="Apple Watch Ultra 2 Launch"/>
    <n v="17.382711311522595"/>
  </r>
  <r>
    <s v="A126"/>
    <s v="LinkedIn"/>
    <s v="2025-03-28"/>
    <s v="Image"/>
    <x v="6"/>
    <s v="Health"/>
    <n v="13637"/>
    <n v="1135"/>
    <n v="540"/>
    <n v="1288"/>
    <n v="45183"/>
    <n v="79062"/>
    <s v="MacBook Air M3 Campaign"/>
    <n v="19.367079001290126"/>
  </r>
  <r>
    <s v="A127"/>
    <s v="Twitter"/>
    <s v="2025-01-27"/>
    <s v="Image"/>
    <x v="3"/>
    <s v="iPhone16"/>
    <n v="24415"/>
    <n v="860"/>
    <n v="931"/>
    <n v="320"/>
    <n v="65049"/>
    <n v="62911"/>
    <s v="Apple Watch Ultra 2 Launch"/>
    <n v="41.655672298962024"/>
  </r>
  <r>
    <s v="A128"/>
    <s v="Instagram"/>
    <s v="2025-01-10"/>
    <s v="Carousel"/>
    <x v="8"/>
    <s v="ShotOniPhone"/>
    <n v="14647"/>
    <n v="1168"/>
    <n v="484"/>
    <n v="2650"/>
    <n v="27217"/>
    <n v="144061"/>
    <s v="iPhone 16 Launch"/>
    <n v="11.313957281984715"/>
  </r>
  <r>
    <s v="A129"/>
    <s v="LinkedIn"/>
    <s v="2024-07-21"/>
    <s v="Image"/>
    <x v="3"/>
    <s v="iPadPro"/>
    <n v="11911"/>
    <n v="1360"/>
    <n v="778"/>
    <n v="1168"/>
    <n v="16483"/>
    <n v="72556"/>
    <s v="Sustainability Awareness Drive"/>
    <n v="19.362974805667346"/>
  </r>
  <r>
    <s v="A130"/>
    <s v="LinkedIn"/>
    <s v="2024-09-29"/>
    <s v="Carousel"/>
    <x v="1"/>
    <s v="AppleInnovation"/>
    <n v="10472"/>
    <n v="401"/>
    <n v="668"/>
    <n v="383"/>
    <n v="37571"/>
    <n v="249203"/>
    <s v="Sustainability Awareness Drive"/>
    <n v="4.6311641513143904"/>
  </r>
  <r>
    <s v="A131"/>
    <s v="LinkedIn"/>
    <s v="2024-10-21"/>
    <s v="Image"/>
    <x v="7"/>
    <s v="AppleEvent"/>
    <n v="20271"/>
    <n v="512"/>
    <n v="286"/>
    <n v="1982"/>
    <n v="43225"/>
    <n v="168335"/>
    <s v="iPhone 16 Launch"/>
    <n v="12.516113701844537"/>
  </r>
  <r>
    <s v="A132"/>
    <s v="Instagram"/>
    <s v="2025-03-04"/>
    <s v="Video"/>
    <x v="1"/>
    <s v="AppleInnovation"/>
    <n v="5266"/>
    <n v="316"/>
    <n v="837"/>
    <n v="2276"/>
    <n v="20967"/>
    <n v="41969"/>
    <s v="MacBook Air M3 Campaign"/>
    <n v="15.294622221163239"/>
  </r>
  <r>
    <s v="A133"/>
    <s v="Instagram"/>
    <s v="2025-02-06"/>
    <s v="Image"/>
    <x v="0"/>
    <s v="HealthTech"/>
    <n v="2666"/>
    <n v="1136"/>
    <n v="989"/>
    <n v="1710"/>
    <n v="36467"/>
    <n v="83753"/>
    <s v="Sustainability Awareness Drive"/>
    <n v="5.72039210535742"/>
  </r>
  <r>
    <s v="A134"/>
    <s v="Instagram"/>
    <d v="2025-10-01T00:00:00"/>
    <s v="Carousel"/>
    <x v="4"/>
    <m/>
    <n v="6188"/>
    <n v="774"/>
    <n v="647"/>
    <n v="1830"/>
    <n v="55436"/>
    <n v="175542"/>
    <s v="Apple Event September 2025"/>
    <n v="4.3345752013763086"/>
  </r>
  <r>
    <s v="A135"/>
    <s v="YouTube"/>
    <s v="2024-11-28"/>
    <s v="Carousel"/>
    <x v="7"/>
    <s v="AppleEvent"/>
    <n v="19055"/>
    <n v="443"/>
    <n v="976"/>
    <n v="869"/>
    <n v="75437"/>
    <n v="161863"/>
    <s v="Sustainability Awareness Drive"/>
    <n v="12.648968572187592"/>
  </r>
  <r>
    <s v="A136"/>
    <s v="Instagram"/>
    <d v="2025-10-02T00:00:00"/>
    <s v="Carousel"/>
    <x v="2"/>
    <s v="Innovation"/>
    <n v="12161"/>
    <n v="736"/>
    <n v="876"/>
    <n v="1233"/>
    <n v="21337"/>
    <n v="50225"/>
    <s v="Apple Event September 2025"/>
    <n v="27.422598307615729"/>
  </r>
  <r>
    <s v="A137"/>
    <s v="Instagram"/>
    <s v="2024-07-31"/>
    <s v="Carousel"/>
    <x v="3"/>
    <s v="iPadPro"/>
    <n v="13314"/>
    <n v="274"/>
    <n v="626"/>
    <n v="2280"/>
    <n v="14639"/>
    <n v="163008"/>
    <s v="iPhone 16 Launch"/>
    <n v="8.7198174322732616"/>
  </r>
  <r>
    <s v="A138"/>
    <s v="Instagram"/>
    <s v="2025-03-29"/>
    <s v="Carousel"/>
    <x v="2"/>
    <s v="Innovation"/>
    <n v="23508"/>
    <n v="585"/>
    <n v="743"/>
    <n v="2155"/>
    <n v="3704"/>
    <n v="194268"/>
    <s v="iPhone 16 Launch"/>
    <n v="12.78440093067309"/>
  </r>
  <r>
    <s v="A139"/>
    <s v="YouTube"/>
    <s v="2024-10-29"/>
    <s v="Tweet"/>
    <x v="3"/>
    <s v="iPhone16"/>
    <n v="23969"/>
    <n v="1433"/>
    <n v="372"/>
    <n v="1092"/>
    <n v="32147"/>
    <n v="145823"/>
    <s v="Sustainability Awareness Drive"/>
    <n v="17.674852389540742"/>
  </r>
  <r>
    <s v="A140"/>
    <s v="Instagram"/>
    <s v="2024-07-15"/>
    <s v="Tweet"/>
    <x v="5"/>
    <s v="AppleLifestyle"/>
    <n v="14891"/>
    <n v="674"/>
    <n v="521"/>
    <n v="1091"/>
    <n v="18101"/>
    <n v="53669"/>
    <s v="Apple Watch Ultra 2 Launch"/>
    <n v="29.972609886526673"/>
  </r>
  <r>
    <s v="A141"/>
    <s v="LinkedIn"/>
    <d v="2025-10-03T00:00:00"/>
    <s v="Image"/>
    <x v="7"/>
    <s v="AppleEvent"/>
    <n v="6777"/>
    <n v="617"/>
    <n v="551"/>
    <n v="2109"/>
    <n v="18559"/>
    <n v="208452"/>
    <s v="Apple Event September 2025"/>
    <n v="3.8114290100358836"/>
  </r>
  <r>
    <s v="A142"/>
    <s v="Instagram"/>
    <s v="2025-03-25"/>
    <s v="Carousel"/>
    <x v="2"/>
    <s v="Innovation"/>
    <n v="5900"/>
    <n v="546"/>
    <n v="592"/>
    <n v="1594"/>
    <n v="38627"/>
    <n v="164398"/>
    <s v="MacBook Air M3 Campaign"/>
    <n v="4.2810739790021781"/>
  </r>
  <r>
    <s v="A143"/>
    <s v="LinkedIn"/>
    <s v="2024-10-02"/>
    <s v="Image"/>
    <x v="2"/>
    <s v="Innovation"/>
    <n v="15716"/>
    <n v="839"/>
    <n v="639"/>
    <n v="2839"/>
    <n v="349"/>
    <n v="150677"/>
    <s v="Sustainability Awareness Drive"/>
    <n v="11.411164278556116"/>
  </r>
  <r>
    <s v="A144"/>
    <s v="LinkedIn"/>
    <s v="2024-10-28"/>
    <s v="Carousel"/>
    <x v="8"/>
    <s v="ShotOniPhone"/>
    <n v="8981"/>
    <n v="1138"/>
    <n v="764"/>
    <n v="2555"/>
    <n v="92810"/>
    <n v="88320"/>
    <s v="MacBook Air M3 Campaign"/>
    <n v="12.32223731884058"/>
  </r>
  <r>
    <s v="A145"/>
    <s v="LinkedIn"/>
    <s v="2024-08-12"/>
    <s v="Carousel"/>
    <x v="1"/>
    <s v="AppleInnovation"/>
    <n v="8376"/>
    <n v="1154"/>
    <n v="422"/>
    <n v="1907"/>
    <n v="36874"/>
    <n v="218486"/>
    <s v="Sustainability Awareness Drive"/>
    <n v="4.5549829279679246"/>
  </r>
  <r>
    <s v="A146"/>
    <s v="YouTube"/>
    <s v="2024-06-05"/>
    <s v="Tweet"/>
    <x v="8"/>
    <s v="ShotOniPhone"/>
    <n v="18907"/>
    <n v="1075"/>
    <n v="675"/>
    <n v="1383"/>
    <n v="17875"/>
    <n v="186649"/>
    <s v="Apple Watch Ultra 2 Launch"/>
    <n v="11.067297440650634"/>
  </r>
  <r>
    <s v="A147"/>
    <s v="YouTube"/>
    <s v="2024-10-21"/>
    <s v="Tweet"/>
    <x v="7"/>
    <s v="AppleEvent"/>
    <n v="20777"/>
    <n v="962"/>
    <n v="308"/>
    <n v="2777"/>
    <n v="25529"/>
    <n v="165354"/>
    <s v="Apple Watch Ultra 2 Launch"/>
    <n v="13.333212380710476"/>
  </r>
  <r>
    <s v="A148"/>
    <s v="YouTube"/>
    <s v="2025-04-15"/>
    <s v="Video"/>
    <x v="7"/>
    <s v="AppleEvent"/>
    <n v="20977"/>
    <n v="1402"/>
    <n v="301"/>
    <n v="1284"/>
    <n v="24620"/>
    <n v="128009"/>
    <s v="Apple Watch Ultra 2 Launch"/>
    <n v="17.717504237983267"/>
  </r>
  <r>
    <s v="A149"/>
    <s v="Instagram"/>
    <s v="2024-06-16"/>
    <s v="Tweet"/>
    <x v="0"/>
    <s v="HealthTech"/>
    <n v="12160"/>
    <n v="1405"/>
    <n v="769"/>
    <n v="1980"/>
    <n v="33174"/>
    <n v="226481"/>
    <s v="Apple Watch Ultra 2 Launch"/>
    <n v="6.3290077313328714"/>
  </r>
  <r>
    <s v="A150"/>
    <s v="LinkedIn"/>
    <s v="2024-08-22"/>
    <s v="Video"/>
    <x v="8"/>
    <s v="ShotOniPhone"/>
    <n v="16124"/>
    <n v="863"/>
    <n v="337"/>
    <n v="819"/>
    <n v="85788"/>
    <n v="68625"/>
    <s v="iPhone 16 Launch"/>
    <n v="25.244444444444447"/>
  </r>
  <r>
    <s v="A151"/>
    <s v="YouTube"/>
    <s v="2024-07-26"/>
    <s v="Video"/>
    <x v="9"/>
    <m/>
    <n v="18282"/>
    <n v="224"/>
    <n v="962"/>
    <n v="890"/>
    <n v="35105"/>
    <n v="64089"/>
    <s v="iPhone 16 Launch"/>
    <n v="30.376507669022768"/>
  </r>
  <r>
    <s v="A152"/>
    <s v="YouTube"/>
    <d v="2025-10-04T00:00:00"/>
    <s v="Video"/>
    <x v="10"/>
    <s v="AppleEarth"/>
    <n v="12488"/>
    <n v="1403"/>
    <n v="247"/>
    <n v="1350"/>
    <n v="28370"/>
    <n v="76487"/>
    <s v="Apple Event September 2025"/>
    <n v="18.484186855282598"/>
  </r>
  <r>
    <s v="A153"/>
    <s v="Instagram"/>
    <s v="2025-01-01"/>
    <s v="Video"/>
    <x v="1"/>
    <s v="AppleInnovation"/>
    <n v="24574"/>
    <n v="909"/>
    <n v="280"/>
    <n v="2009"/>
    <n v="6221"/>
    <n v="236910"/>
    <s v="MacBook Air M3 Campaign"/>
    <n v="10.874593727575872"/>
  </r>
  <r>
    <s v="A154"/>
    <s v="YouTube"/>
    <s v="2024-10-09"/>
    <s v="Video"/>
    <x v="7"/>
    <s v="AppleEvent"/>
    <n v="7240"/>
    <n v="1384"/>
    <n v="954"/>
    <n v="2335"/>
    <n v="6757"/>
    <n v="150448"/>
    <s v="Sustainability Awareness Drive"/>
    <n v="6.366319259810699"/>
  </r>
  <r>
    <s v="A155"/>
    <s v="Instagram"/>
    <s v="2024-12-21"/>
    <s v="Image"/>
    <x v="0"/>
    <s v="HealthTech"/>
    <n v="12453"/>
    <n v="376"/>
    <n v="320"/>
    <n v="2546"/>
    <n v="22617"/>
    <n v="90138"/>
    <s v="Sustainability Awareness Drive"/>
    <n v="14.587632297144379"/>
  </r>
  <r>
    <s v="A156"/>
    <s v="Twitter"/>
    <s v="2024-10-22"/>
    <s v="Tweet"/>
    <x v="5"/>
    <s v="AppleLifestyle"/>
    <n v="12478"/>
    <n v="484"/>
    <n v="332"/>
    <n v="2734"/>
    <n v="43338"/>
    <n v="213895"/>
    <s v="iPhone 16 Launch"/>
    <n v="6.2151990462610156"/>
  </r>
  <r>
    <s v="A157"/>
    <s v="YouTube"/>
    <s v="2024-07-23"/>
    <s v="Video"/>
    <x v="8"/>
    <s v="ShotOniPhone"/>
    <n v="24877"/>
    <n v="262"/>
    <n v="513"/>
    <n v="648"/>
    <n v="47544"/>
    <n v="208280"/>
    <s v="Sustainability Awareness Drive"/>
    <n v="12.316112924908778"/>
  </r>
  <r>
    <s v="A158"/>
    <s v="Twitter"/>
    <s v="2024-08-11"/>
    <s v="Carousel"/>
    <x v="1"/>
    <s v="AppleInnovation"/>
    <n v="14394"/>
    <n v="1202"/>
    <n v="188"/>
    <n v="1259"/>
    <n v="21925"/>
    <n v="94061"/>
    <s v="iPhone 16 Launch"/>
    <n v="16.780599823518781"/>
  </r>
  <r>
    <s v="A159"/>
    <s v="Instagram"/>
    <d v="2025-10-05T00:00:00"/>
    <s v="Tweet"/>
    <x v="5"/>
    <s v="AppleLifestyle"/>
    <n v="21262"/>
    <n v="861"/>
    <n v="676"/>
    <n v="2263"/>
    <n v="12085"/>
    <n v="201731"/>
    <s v="Apple Event September 2025"/>
    <n v="11.301683925623726"/>
  </r>
  <r>
    <s v="A160"/>
    <s v="LinkedIn"/>
    <s v="2024-08-24"/>
    <s v="Tweet"/>
    <x v="8"/>
    <s v="ShotOniPhone"/>
    <n v="22527"/>
    <n v="865"/>
    <n v="646"/>
    <n v="992"/>
    <n v="18654"/>
    <n v="141376"/>
    <s v="MacBook Air M3 Campaign"/>
    <n v="17.002885921231325"/>
  </r>
  <r>
    <s v="A161"/>
    <s v="YouTube"/>
    <d v="2025-10-06T00:00:00"/>
    <s v="Video"/>
    <x v="2"/>
    <s v="Innovation"/>
    <n v="22028"/>
    <n v="355"/>
    <n v="665"/>
    <n v="1859"/>
    <n v="50565"/>
    <n v="202962"/>
    <s v="Apple Event September 2025"/>
    <n v="11.355820301337197"/>
  </r>
  <r>
    <s v="A162"/>
    <s v="Instagram"/>
    <s v="2025-04-01"/>
    <s v="Image"/>
    <x v="5"/>
    <s v="AppleLifestyle"/>
    <n v="6432"/>
    <n v="1272"/>
    <n v="498"/>
    <n v="677"/>
    <n v="47305"/>
    <n v="119134"/>
    <s v="Apple Watch Ultra 2 Launch"/>
    <n v="6.8846844729464296"/>
  </r>
  <r>
    <s v="A163"/>
    <s v="LinkedIn"/>
    <s v="2025-04-08"/>
    <s v="Video"/>
    <x v="0"/>
    <s v="HealthTech"/>
    <n v="15568"/>
    <n v="1166"/>
    <n v="546"/>
    <n v="826"/>
    <n v="21836"/>
    <n v="87055"/>
    <s v="Apple Watch Ultra 2 Launch"/>
    <n v="19.84952041812647"/>
  </r>
  <r>
    <s v="A164"/>
    <s v="LinkedIn"/>
    <s v="2025-02-27"/>
    <s v="Image"/>
    <x v="1"/>
    <s v="AppleInnovation"/>
    <n v="16178"/>
    <n v="1048"/>
    <n v="871"/>
    <n v="2553"/>
    <n v="39025"/>
    <n v="59508"/>
    <s v="Apple Watch Ultra 2 Launch"/>
    <n v="30.411037171472742"/>
  </r>
  <r>
    <s v="A165"/>
    <s v="Twitter"/>
    <d v="2025-10-07T00:00:00"/>
    <s v="Carousel"/>
    <x v="6"/>
    <s v="Health"/>
    <n v="19660"/>
    <n v="1307"/>
    <n v="310"/>
    <n v="2802"/>
    <n v="22171"/>
    <n v="213359"/>
    <s v="Apple Event September 2025"/>
    <n v="9.9723939463533284"/>
  </r>
  <r>
    <s v="A166"/>
    <s v="Instagram"/>
    <s v="2025-02-16"/>
    <s v="Tweet"/>
    <x v="3"/>
    <s v="iPhone16"/>
    <n v="24195"/>
    <n v="888"/>
    <n v="165"/>
    <n v="1559"/>
    <n v="11596"/>
    <n v="249988"/>
    <s v="Sustainability Awareness Drive"/>
    <n v="10.099684784869673"/>
  </r>
  <r>
    <s v="A167"/>
    <s v="LinkedIn"/>
    <s v="2024-11-28"/>
    <s v="Carousel"/>
    <x v="3"/>
    <s v="iPhone16"/>
    <n v="2302"/>
    <n v="347"/>
    <n v="642"/>
    <n v="2175"/>
    <n v="56378"/>
    <n v="198056"/>
    <s v="MacBook Air M3 Campaign"/>
    <n v="1.6616512501514722"/>
  </r>
  <r>
    <s v="A168"/>
    <s v="YouTube"/>
    <s v="2024-11-12"/>
    <s v="Image"/>
    <x v="1"/>
    <s v="AppleInnovation"/>
    <n v="19022"/>
    <n v="541"/>
    <n v="575"/>
    <n v="2063"/>
    <n v="42743"/>
    <n v="150169"/>
    <s v="Apple Watch Ultra 2 Launch"/>
    <n v="13.410224480418728"/>
  </r>
  <r>
    <s v="A169"/>
    <s v="YouTube"/>
    <s v="2024-12-03"/>
    <s v="Image"/>
    <x v="5"/>
    <s v="AppleLifestyle"/>
    <n v="2055"/>
    <n v="675"/>
    <n v="257"/>
    <n v="820"/>
    <n v="33534"/>
    <n v="48125"/>
    <s v="Apple Watch Ultra 2 Launch"/>
    <n v="6.2067532467532462"/>
  </r>
  <r>
    <s v="A170"/>
    <s v="Twitter"/>
    <s v="2025-04-28"/>
    <s v="Carousel"/>
    <x v="8"/>
    <s v="ShotOniPhone"/>
    <n v="15013"/>
    <n v="1286"/>
    <n v="599"/>
    <n v="2001"/>
    <n v="67839"/>
    <n v="76059"/>
    <s v="Apple Watch Ultra 2 Launch"/>
    <n v="22.216963147030594"/>
  </r>
  <r>
    <s v="A171"/>
    <s v="LinkedIn"/>
    <s v="2024-12-31"/>
    <s v="Image"/>
    <x v="0"/>
    <s v="HealthTech"/>
    <n v="10717"/>
    <n v="760"/>
    <n v="460"/>
    <n v="1316"/>
    <n v="18164"/>
    <n v="240641"/>
    <s v="MacBook Air M3 Campaign"/>
    <n v="4.9605013277039243"/>
  </r>
  <r>
    <s v="A172"/>
    <s v="Instagram"/>
    <s v="2024-08-14"/>
    <s v="Carousel"/>
    <x v="10"/>
    <s v="AppleEarth"/>
    <n v="10150"/>
    <n v="526"/>
    <n v="888"/>
    <n v="1313"/>
    <n v="51605"/>
    <n v="143409"/>
    <s v="Apple Watch Ultra 2 Launch"/>
    <n v="8.063650119588031"/>
  </r>
  <r>
    <s v="A173"/>
    <s v="YouTube"/>
    <s v="2024-12-05"/>
    <s v="Tweet"/>
    <x v="3"/>
    <s v="iPhone16"/>
    <n v="4125"/>
    <n v="1364"/>
    <n v="319"/>
    <n v="2848"/>
    <n v="15379"/>
    <n v="188159"/>
    <s v="MacBook Air M3 Campaign"/>
    <n v="3.0867510988047342"/>
  </r>
  <r>
    <s v="A174"/>
    <s v="LinkedIn"/>
    <s v="2024-06-22"/>
    <s v="Carousel"/>
    <x v="0"/>
    <s v="HealthTech"/>
    <n v="13479"/>
    <n v="1189"/>
    <n v="695"/>
    <n v="416"/>
    <n v="30229"/>
    <n v="45704"/>
    <s v="Apple Watch Ultra 2 Launch"/>
    <n v="33.61412567827761"/>
  </r>
  <r>
    <s v="A175"/>
    <s v="LinkedIn"/>
    <d v="2025-10-08T00:00:00"/>
    <s v="Tweet"/>
    <x v="3"/>
    <s v="iPhone16"/>
    <n v="17745"/>
    <n v="414"/>
    <n v="563"/>
    <n v="2733"/>
    <n v="995"/>
    <n v="231648"/>
    <s v="Apple Event September 2025"/>
    <n v="8.0820900676889078"/>
  </r>
  <r>
    <s v="A176"/>
    <s v="Twitter"/>
    <d v="2025-10-09T00:00:00"/>
    <s v="Carousel"/>
    <x v="2"/>
    <s v="Innovation"/>
    <n v="18748"/>
    <n v="634"/>
    <n v="400"/>
    <n v="1667"/>
    <n v="75813"/>
    <n v="244456"/>
    <s v="Apple Event September 2025"/>
    <n v="8.0922538207284749"/>
  </r>
  <r>
    <s v="A177"/>
    <s v="YouTube"/>
    <s v="2024-07-10"/>
    <s v="Image"/>
    <x v="8"/>
    <s v="ShotOniPhone"/>
    <n v="8809"/>
    <n v="1151"/>
    <n v="908"/>
    <n v="883"/>
    <n v="42921"/>
    <n v="151279"/>
    <s v="MacBook Air M3 Campaign"/>
    <n v="7.1840771025720684"/>
  </r>
  <r>
    <s v="A178"/>
    <s v="YouTube"/>
    <d v="2025-10-10T00:00:00"/>
    <s v="Carousel"/>
    <x v="2"/>
    <s v="Innovation"/>
    <n v="6621"/>
    <n v="922"/>
    <n v="930"/>
    <n v="694"/>
    <n v="839"/>
    <n v="243532"/>
    <s v="Apple Event September 2025"/>
    <n v="3.4792142305733949"/>
  </r>
  <r>
    <s v="A179"/>
    <s v="Instagram"/>
    <s v="2024-07-15"/>
    <s v="Image"/>
    <x v="3"/>
    <s v="iPhone16"/>
    <n v="17034"/>
    <n v="231"/>
    <n v="290"/>
    <n v="1387"/>
    <n v="63550"/>
    <n v="198280"/>
    <s v="MacBook Air M3 Campaign"/>
    <n v="8.8536413153116804"/>
  </r>
  <r>
    <s v="A180"/>
    <s v="YouTube"/>
    <d v="2025-10-11T00:00:00"/>
    <s v="Carousel"/>
    <x v="6"/>
    <s v="Health"/>
    <n v="15623"/>
    <n v="869"/>
    <n v="423"/>
    <n v="371"/>
    <n v="47579"/>
    <n v="158516"/>
    <s v="Apple Event September 2025"/>
    <n v="10.670847106916652"/>
  </r>
  <r>
    <s v="A181"/>
    <s v="Instagram"/>
    <d v="2025-10-12T00:00:00"/>
    <s v="Carousel"/>
    <x v="6"/>
    <s v="Health"/>
    <n v="7126"/>
    <n v="484"/>
    <n v="565"/>
    <n v="573"/>
    <n v="7389"/>
    <n v="237096"/>
    <s v="Apple Event September 2025"/>
    <n v="3.4479704423524646"/>
  </r>
  <r>
    <s v="A182"/>
    <s v="YouTube"/>
    <s v="2024-07-31"/>
    <s v="Video"/>
    <x v="2"/>
    <s v="Innovation"/>
    <n v="7122"/>
    <n v="628"/>
    <n v="757"/>
    <n v="2313"/>
    <n v="50924"/>
    <n v="210954"/>
    <s v="MacBook Air M3 Campaign"/>
    <n v="4.032632706656428"/>
  </r>
  <r>
    <s v="A183"/>
    <s v="Twitter"/>
    <s v="2024-12-17"/>
    <s v="Image"/>
    <x v="6"/>
    <s v="Health"/>
    <n v="20030"/>
    <n v="485"/>
    <n v="888"/>
    <n v="1643"/>
    <n v="4322"/>
    <n v="196995"/>
    <s v="Sustainability Awareness Drive"/>
    <n v="10.864742759968527"/>
  </r>
  <r>
    <s v="A184"/>
    <s v="YouTube"/>
    <d v="2025-10-13T00:00:00"/>
    <s v="Video"/>
    <x v="3"/>
    <s v="iPhone16"/>
    <n v="19302"/>
    <n v="1367"/>
    <n v="188"/>
    <n v="637"/>
    <n v="31404"/>
    <n v="154044"/>
    <s v="Apple Event September 2025"/>
    <n v="13.53963802549921"/>
  </r>
  <r>
    <s v="A185"/>
    <s v="Instagram"/>
    <s v="2025-01-11"/>
    <s v="Image"/>
    <x v="1"/>
    <s v="AppleInnovation"/>
    <n v="21181"/>
    <n v="1242"/>
    <n v="963"/>
    <n v="1689"/>
    <n v="49329"/>
    <n v="69165"/>
    <s v="Apple Watch Ultra 2 Launch"/>
    <n v="33.811899081905587"/>
  </r>
  <r>
    <s v="A186"/>
    <s v="Instagram"/>
    <s v="2024-08-24"/>
    <s v="Video"/>
    <x v="2"/>
    <s v="Innovation"/>
    <n v="24890"/>
    <n v="217"/>
    <n v="178"/>
    <n v="906"/>
    <n v="54826"/>
    <n v="107203"/>
    <s v="Sustainability Awareness Drive"/>
    <n v="23.586093672751694"/>
  </r>
  <r>
    <s v="A187"/>
    <s v="Twitter"/>
    <s v="2024-12-22"/>
    <s v="Tweet"/>
    <x v="10"/>
    <s v="AppleEarth"/>
    <n v="7870"/>
    <n v="968"/>
    <n v="626"/>
    <n v="465"/>
    <n v="27184"/>
    <n v="44114"/>
    <s v="MacBook Air M3 Campaign"/>
    <n v="21.453506823230718"/>
  </r>
  <r>
    <s v="A188"/>
    <s v="YouTube"/>
    <s v="2024-06-06"/>
    <s v="Carousel"/>
    <x v="10"/>
    <s v="AppleEarth"/>
    <n v="3531"/>
    <n v="789"/>
    <n v="467"/>
    <n v="1867"/>
    <n v="40816"/>
    <n v="236037"/>
    <s v="Sustainability Awareness Drive"/>
    <n v="2.0280718700881639"/>
  </r>
  <r>
    <s v="A189"/>
    <s v="YouTube"/>
    <s v="2025-03-24"/>
    <s v="Image"/>
    <x v="4"/>
    <m/>
    <n v="10172"/>
    <n v="1398"/>
    <n v="394"/>
    <n v="2358"/>
    <n v="59610"/>
    <n v="76321"/>
    <s v="iPhone 16 Launch"/>
    <n v="15.675895231980713"/>
  </r>
  <r>
    <s v="A190"/>
    <s v="Twitter"/>
    <s v="2024-10-04"/>
    <s v="Image"/>
    <x v="5"/>
    <s v="AppleLifestyle"/>
    <n v="21729"/>
    <n v="1209"/>
    <n v="897"/>
    <n v="1624"/>
    <n v="38771"/>
    <n v="113297"/>
    <s v="iPhone 16 Launch"/>
    <n v="21.037626768581692"/>
  </r>
  <r>
    <s v="A191"/>
    <s v="YouTube"/>
    <d v="2025-10-14T00:00:00"/>
    <s v="Carousel"/>
    <x v="8"/>
    <s v="ShotOniPhone"/>
    <n v="9673"/>
    <n v="393"/>
    <n v="846"/>
    <n v="1028"/>
    <n v="55556"/>
    <n v="136652"/>
    <s v="Apple Event September 2025"/>
    <n v="7.9852471972601942"/>
  </r>
  <r>
    <s v="A192"/>
    <s v="YouTube"/>
    <d v="2025-10-15T00:00:00"/>
    <s v="Image"/>
    <x v="6"/>
    <s v="Health"/>
    <n v="8882"/>
    <n v="701"/>
    <n v="421"/>
    <n v="2343"/>
    <n v="13588"/>
    <n v="139304"/>
    <s v="Apple Event September 2025"/>
    <n v="7.1814161833113195"/>
  </r>
  <r>
    <s v="A193"/>
    <s v="Instagram"/>
    <s v="2024-09-11"/>
    <s v="Image"/>
    <x v="6"/>
    <s v="Health"/>
    <n v="3906"/>
    <n v="1187"/>
    <n v="589"/>
    <n v="401"/>
    <n v="52687"/>
    <n v="196498"/>
    <s v="Apple Watch Ultra 2 Launch"/>
    <n v="2.8916324848090058"/>
  </r>
  <r>
    <s v="A194"/>
    <s v="YouTube"/>
    <s v="2024-10-02"/>
    <s v="Video"/>
    <x v="5"/>
    <s v="AppleLifestyle"/>
    <n v="5086"/>
    <n v="1336"/>
    <n v="897"/>
    <n v="1715"/>
    <n v="60592"/>
    <n v="57772"/>
    <s v="Sustainability Awareness Drive"/>
    <n v="12.668766876687668"/>
  </r>
  <r>
    <s v="A195"/>
    <s v="YouTube"/>
    <s v="2024-08-15"/>
    <s v="Image"/>
    <x v="7"/>
    <s v="AppleEvent"/>
    <n v="15503"/>
    <n v="313"/>
    <n v="388"/>
    <n v="1078"/>
    <n v="11500"/>
    <n v="143754"/>
    <s v="iPhone 16 Launch"/>
    <n v="11.27203416948398"/>
  </r>
  <r>
    <s v="A196"/>
    <s v="Twitter"/>
    <d v="2025-09-18T00:00:00"/>
    <s v="Tweet"/>
    <x v="9"/>
    <m/>
    <n v="10152"/>
    <n v="1445"/>
    <n v="526"/>
    <n v="513"/>
    <n v="18959"/>
    <n v="43712"/>
    <s v="Apple Event September 2025"/>
    <n v="27.733803074670572"/>
  </r>
  <r>
    <s v="A197"/>
    <s v="Twitter"/>
    <s v="2024-10-22"/>
    <s v="Tweet"/>
    <x v="2"/>
    <s v="Innovation"/>
    <n v="7750"/>
    <n v="1146"/>
    <n v="415"/>
    <n v="1411"/>
    <n v="85339"/>
    <n v="172439"/>
    <s v="Sustainability Awareness Drive"/>
    <n v="5.3995905798572243"/>
  </r>
  <r>
    <s v="A198"/>
    <s v="LinkedIn"/>
    <d v="2025-09-19T00:00:00"/>
    <s v="Carousel"/>
    <x v="3"/>
    <s v="iPadPro"/>
    <n v="14772"/>
    <n v="1030"/>
    <n v="508"/>
    <n v="1876"/>
    <n v="8882"/>
    <n v="155142"/>
    <s v="Apple Event September 2025"/>
    <n v="10.512949426976578"/>
  </r>
  <r>
    <s v="A199"/>
    <s v="Instagram"/>
    <d v="2025-09-20T00:00:00"/>
    <s v="Image"/>
    <x v="6"/>
    <s v="Health"/>
    <n v="12267"/>
    <n v="1487"/>
    <n v="489"/>
    <n v="2748"/>
    <n v="34685"/>
    <n v="131736"/>
    <s v="Apple Event September 2025"/>
    <n v="10.811775065282079"/>
  </r>
  <r>
    <s v="A200"/>
    <s v="YouTube"/>
    <s v="2025-04-07"/>
    <s v="Carousel"/>
    <x v="8"/>
    <s v="ShotOniPhone"/>
    <n v="3062"/>
    <n v="1124"/>
    <n v="538"/>
    <n v="2935"/>
    <n v="69749"/>
    <n v="91924"/>
    <s v="iPhone 16 Launch"/>
    <n v="5.1390278926069364"/>
  </r>
  <r>
    <s v="A201"/>
    <s v="YouTube"/>
    <s v="2025-01-15"/>
    <s v="Tweet"/>
    <x v="4"/>
    <m/>
    <n v="20360"/>
    <n v="254"/>
    <n v="726"/>
    <n v="1995"/>
    <n v="14280"/>
    <n v="43726"/>
    <s v="iPhone 16 Launch"/>
    <n v="48.803915290673736"/>
  </r>
  <r>
    <s v="A202"/>
    <s v="LinkedIn"/>
    <d v="2025-09-21T00:00:00"/>
    <s v="Image"/>
    <x v="10"/>
    <s v="AppleEarth"/>
    <n v="19680"/>
    <n v="999"/>
    <n v="838"/>
    <n v="891"/>
    <n v="29576"/>
    <n v="129152"/>
    <s v="Apple Event September 2025"/>
    <n v="16.660214321110008"/>
  </r>
  <r>
    <s v="A203"/>
    <s v="YouTube"/>
    <s v="2024-11-21"/>
    <s v="Image"/>
    <x v="6"/>
    <s v="Health"/>
    <n v="8229"/>
    <n v="977"/>
    <n v="152"/>
    <n v="1633"/>
    <n v="71447"/>
    <n v="67723"/>
    <s v="MacBook Air M3 Campaign"/>
    <n v="13.818052950991538"/>
  </r>
  <r>
    <s v="A204"/>
    <s v="Instagram"/>
    <d v="2025-09-22T00:00:00"/>
    <s v="Carousel"/>
    <x v="4"/>
    <m/>
    <n v="18509"/>
    <n v="361"/>
    <n v="578"/>
    <n v="1409"/>
    <n v="10569"/>
    <n v="166969"/>
    <s v="Apple Event September 2025"/>
    <n v="11.647671124580011"/>
  </r>
  <r>
    <s v="A205"/>
    <s v="LinkedIn"/>
    <d v="2025-09-23T00:00:00"/>
    <s v="Tweet"/>
    <x v="3"/>
    <s v="iPhone16"/>
    <n v="17147"/>
    <n v="286"/>
    <n v="291"/>
    <n v="2439"/>
    <n v="45631"/>
    <n v="140494"/>
    <s v="Apple Event September 2025"/>
    <n v="12.615485358805358"/>
  </r>
  <r>
    <s v="A206"/>
    <s v="Instagram"/>
    <s v="2024-06-24"/>
    <s v="Image"/>
    <x v="3"/>
    <s v="iPhone16"/>
    <n v="6632"/>
    <n v="254"/>
    <n v="525"/>
    <n v="1013"/>
    <n v="13838"/>
    <n v="180180"/>
    <s v="Apple Watch Ultra 2 Launch"/>
    <n v="4.1131091131091129"/>
  </r>
  <r>
    <s v="A207"/>
    <s v="LinkedIn"/>
    <s v="2024-12-29"/>
    <s v="Carousel"/>
    <x v="9"/>
    <m/>
    <n v="8288"/>
    <n v="1401"/>
    <n v="819"/>
    <n v="1235"/>
    <n v="33446"/>
    <n v="248786"/>
    <s v="Apple Watch Ultra 2 Launch"/>
    <n v="4.2237103373984066"/>
  </r>
  <r>
    <s v="A208"/>
    <s v="LinkedIn"/>
    <s v="2024-06-24"/>
    <s v="Tweet"/>
    <x v="1"/>
    <s v="AppleInnovation"/>
    <n v="5596"/>
    <n v="1231"/>
    <n v="473"/>
    <n v="2251"/>
    <n v="43705"/>
    <n v="75643"/>
    <s v="Apple Watch Ultra 2 Launch"/>
    <n v="9.6505955607260425"/>
  </r>
  <r>
    <s v="A209"/>
    <s v="Twitter"/>
    <s v="2025-03-19"/>
    <s v="Carousel"/>
    <x v="3"/>
    <s v="iPadPro"/>
    <n v="13475"/>
    <n v="1032"/>
    <n v="295"/>
    <n v="541"/>
    <n v="43666"/>
    <n v="202396"/>
    <s v="MacBook Air M3 Campaign"/>
    <n v="7.3133856400324122"/>
  </r>
  <r>
    <s v="A210"/>
    <s v="Instagram"/>
    <s v="2025-02-19"/>
    <s v="Video"/>
    <x v="7"/>
    <s v="AppleEvent"/>
    <n v="8168"/>
    <n v="512"/>
    <n v="442"/>
    <n v="2343"/>
    <n v="2753"/>
    <n v="143896"/>
    <s v="MacBook Air M3 Campaign"/>
    <n v="6.3393006059932171"/>
  </r>
  <r>
    <s v="A211"/>
    <s v="YouTube"/>
    <d v="2025-09-24T00:00:00"/>
    <s v="Image"/>
    <x v="9"/>
    <m/>
    <n v="11795"/>
    <n v="958"/>
    <n v="814"/>
    <n v="301"/>
    <n v="12564"/>
    <n v="179999"/>
    <s v="Apple Event September 2025"/>
    <n v="7.5372640959116444"/>
  </r>
  <r>
    <s v="A212"/>
    <s v="YouTube"/>
    <s v="2025-03-03"/>
    <s v="Video"/>
    <x v="0"/>
    <s v="HealthTech"/>
    <n v="9561"/>
    <n v="642"/>
    <n v="581"/>
    <n v="2572"/>
    <n v="38552"/>
    <n v="133680"/>
    <s v="Apple Watch Ultra 2 Launch"/>
    <n v="8.0670257330939563"/>
  </r>
  <r>
    <s v="A213"/>
    <s v="Instagram"/>
    <s v="2025-05-01"/>
    <s v="Tweet"/>
    <x v="7"/>
    <s v="AppleEvent"/>
    <n v="10258"/>
    <n v="527"/>
    <n v="854"/>
    <n v="2068"/>
    <n v="45632"/>
    <n v="136546"/>
    <s v="MacBook Air M3 Campaign"/>
    <n v="8.5238674146441493"/>
  </r>
  <r>
    <s v="A214"/>
    <s v="YouTube"/>
    <s v="2024-12-23"/>
    <s v="Video"/>
    <x v="2"/>
    <s v="Innovation"/>
    <n v="18616"/>
    <n v="1277"/>
    <n v="734"/>
    <n v="2249"/>
    <n v="3399"/>
    <n v="193515"/>
    <s v="iPhone 16 Launch"/>
    <n v="10.659122031883832"/>
  </r>
  <r>
    <s v="A215"/>
    <s v="YouTube"/>
    <d v="2025-09-25T00:00:00"/>
    <s v="Video"/>
    <x v="8"/>
    <s v="ShotOniPhone"/>
    <n v="8371"/>
    <n v="960"/>
    <n v="548"/>
    <n v="2936"/>
    <n v="82543"/>
    <n v="119973"/>
    <s v="Apple Event September 2025"/>
    <n v="8.2343527293641063"/>
  </r>
  <r>
    <s v="A216"/>
    <s v="Instagram"/>
    <s v="2024-07-29"/>
    <s v="Tweet"/>
    <x v="0"/>
    <s v="HealthTech"/>
    <n v="22590"/>
    <n v="1462"/>
    <n v="966"/>
    <n v="2463"/>
    <n v="29689"/>
    <n v="103449"/>
    <s v="Sustainability Awareness Drive"/>
    <n v="24.183897379385012"/>
  </r>
  <r>
    <s v="A217"/>
    <s v="LinkedIn"/>
    <d v="2025-09-26T00:00:00"/>
    <s v="Carousel"/>
    <x v="0"/>
    <s v="HealthTech"/>
    <n v="16369"/>
    <n v="1452"/>
    <n v="493"/>
    <n v="1217"/>
    <n v="91440"/>
    <n v="149834"/>
    <s v="Apple Event September 2025"/>
    <n v="12.222859965027965"/>
  </r>
  <r>
    <s v="A218"/>
    <s v="Instagram"/>
    <s v="2024-06-11"/>
    <s v="Video"/>
    <x v="9"/>
    <m/>
    <n v="14910"/>
    <n v="778"/>
    <n v="289"/>
    <n v="2541"/>
    <n v="14309"/>
    <n v="247815"/>
    <s v="Sustainability Awareness Drive"/>
    <n v="6.4471480741682292"/>
  </r>
  <r>
    <s v="A219"/>
    <s v="LinkedIn"/>
    <s v="2025-01-28"/>
    <s v="Carousel"/>
    <x v="5"/>
    <s v="AppleLifestyle"/>
    <n v="9943"/>
    <n v="1274"/>
    <n v="336"/>
    <n v="389"/>
    <n v="6145"/>
    <n v="231305"/>
    <s v="Apple Watch Ultra 2 Launch"/>
    <n v="4.994703962300858"/>
  </r>
  <r>
    <s v="A220"/>
    <s v="YouTube"/>
    <s v="2024-06-02"/>
    <s v="Video"/>
    <x v="1"/>
    <s v="AppleInnovation"/>
    <n v="14199"/>
    <n v="1206"/>
    <n v="954"/>
    <n v="2009"/>
    <n v="8"/>
    <n v="65537"/>
    <s v="Sustainability Awareness Drive"/>
    <n v="24.961472145505592"/>
  </r>
  <r>
    <s v="A221"/>
    <s v="YouTube"/>
    <s v="2025-03-23"/>
    <s v="Carousel"/>
    <x v="5"/>
    <s v="AppleLifestyle"/>
    <n v="17728"/>
    <n v="1487"/>
    <n v="210"/>
    <n v="2469"/>
    <n v="30565"/>
    <n v="117576"/>
    <s v="Apple Watch Ultra 2 Launch"/>
    <n v="16.521228822208613"/>
  </r>
  <r>
    <s v="A222"/>
    <s v="YouTube"/>
    <s v="2024-10-08"/>
    <s v="Tweet"/>
    <x v="9"/>
    <m/>
    <n v="8738"/>
    <n v="295"/>
    <n v="529"/>
    <n v="442"/>
    <n v="25286"/>
    <n v="147522"/>
    <s v="iPhone 16 Launch"/>
    <n v="6.4817450956467511"/>
  </r>
  <r>
    <s v="A223"/>
    <s v="Twitter"/>
    <s v="2024-11-12"/>
    <s v="Video"/>
    <x v="2"/>
    <s v="Innovation"/>
    <n v="17913"/>
    <n v="1311"/>
    <n v="859"/>
    <n v="405"/>
    <n v="59842"/>
    <n v="62612"/>
    <s v="Sustainability Awareness Drive"/>
    <n v="32.075321024723699"/>
  </r>
  <r>
    <s v="A224"/>
    <s v="LinkedIn"/>
    <d v="2025-09-07T00:00:00"/>
    <s v="Tweet"/>
    <x v="10"/>
    <s v="AppleEarth"/>
    <n v="4472"/>
    <n v="1301"/>
    <n v="956"/>
    <n v="1186"/>
    <n v="3363"/>
    <n v="46471"/>
    <s v="Apple Event September 2025"/>
    <n v="14.479998278496268"/>
  </r>
  <r>
    <s v="A225"/>
    <s v="Twitter"/>
    <s v="2024-06-20"/>
    <s v="Video"/>
    <x v="6"/>
    <s v="Health"/>
    <n v="21123"/>
    <n v="1343"/>
    <n v="589"/>
    <n v="727"/>
    <n v="87833"/>
    <n v="206703"/>
    <s v="Apple Watch Ultra 2 Launch"/>
    <n v="11.153684271636116"/>
  </r>
  <r>
    <s v="A226"/>
    <s v="Twitter"/>
    <d v="2025-09-08T00:00:00"/>
    <s v="Tweet"/>
    <x v="6"/>
    <s v="Health"/>
    <n v="23785"/>
    <n v="1013"/>
    <n v="468"/>
    <n v="1628"/>
    <n v="8272"/>
    <n v="71348"/>
    <s v="Apple Event September 2025"/>
    <n v="35.412345125301343"/>
  </r>
  <r>
    <s v="A227"/>
    <s v="Instagram"/>
    <s v="2024-06-12"/>
    <s v="Tweet"/>
    <x v="1"/>
    <s v="AppleInnovation"/>
    <n v="17679"/>
    <n v="690"/>
    <n v="451"/>
    <n v="2195"/>
    <n v="4390"/>
    <n v="235804"/>
    <s v="MacBook Air M3 Campaign"/>
    <n v="7.9812047293514956"/>
  </r>
  <r>
    <s v="A228"/>
    <s v="Twitter"/>
    <s v="2024-07-01"/>
    <s v="Video"/>
    <x v="2"/>
    <s v="Innovation"/>
    <n v="3761"/>
    <n v="651"/>
    <n v="493"/>
    <n v="2294"/>
    <n v="71696"/>
    <n v="41177"/>
    <s v="Apple Watch Ultra 2 Launch"/>
    <n v="11.911989702989532"/>
  </r>
  <r>
    <s v="A229"/>
    <s v="Instagram"/>
    <s v="2024-07-03"/>
    <s v="Video"/>
    <x v="1"/>
    <s v="AppleInnovation"/>
    <n v="12167"/>
    <n v="364"/>
    <n v="160"/>
    <n v="616"/>
    <n v="42228"/>
    <n v="175832"/>
    <s v="Sustainability Awareness Drive"/>
    <n v="7.217685063014696"/>
  </r>
  <r>
    <s v="A230"/>
    <s v="Instagram"/>
    <s v="2024-07-15"/>
    <s v="Video"/>
    <x v="4"/>
    <m/>
    <n v="12554"/>
    <n v="381"/>
    <n v="211"/>
    <n v="2286"/>
    <n v="50567"/>
    <n v="72779"/>
    <s v="Apple Watch Ultra 2 Launch"/>
    <n v="18.062902760411657"/>
  </r>
  <r>
    <s v="A231"/>
    <s v="Twitter"/>
    <d v="2025-09-09T00:00:00"/>
    <s v="Image"/>
    <x v="5"/>
    <s v="AppleLifestyle"/>
    <n v="19260"/>
    <n v="668"/>
    <n v="994"/>
    <n v="934"/>
    <n v="20509"/>
    <n v="61636"/>
    <s v="Apple Event September 2025"/>
    <n v="33.944448049841"/>
  </r>
  <r>
    <s v="A232"/>
    <s v="LinkedIn"/>
    <s v="2025-04-29"/>
    <s v="Carousel"/>
    <x v="6"/>
    <s v="Health"/>
    <n v="16277"/>
    <n v="1109"/>
    <n v="375"/>
    <n v="2225"/>
    <n v="1044"/>
    <n v="121889"/>
    <s v="iPhone 16 Launch"/>
    <n v="14.571454356012437"/>
  </r>
  <r>
    <s v="A233"/>
    <s v="LinkedIn"/>
    <s v="2025-03-08"/>
    <s v="Image"/>
    <x v="0"/>
    <s v="HealthTech"/>
    <n v="5812"/>
    <n v="934"/>
    <n v="302"/>
    <n v="2356"/>
    <n v="37437"/>
    <n v="93551"/>
    <s v="Apple Watch Ultra 2 Launch"/>
    <n v="7.5338585370546554"/>
  </r>
  <r>
    <s v="A234"/>
    <s v="LinkedIn"/>
    <s v="2024-06-01"/>
    <s v="Image"/>
    <x v="5"/>
    <s v="AppleLifestyle"/>
    <n v="19844"/>
    <n v="1022"/>
    <n v="860"/>
    <n v="2570"/>
    <n v="23719"/>
    <n v="182628"/>
    <s v="Sustainability Awareness Drive"/>
    <n v="11.896313818253498"/>
  </r>
  <r>
    <s v="A235"/>
    <s v="LinkedIn"/>
    <s v="2024-12-22"/>
    <s v="Tweet"/>
    <x v="3"/>
    <s v="iPadPro"/>
    <n v="20117"/>
    <n v="1143"/>
    <n v="713"/>
    <n v="1739"/>
    <n v="34444"/>
    <n v="198670"/>
    <s v="MacBook Air M3 Campaign"/>
    <n v="11.060049328031409"/>
  </r>
  <r>
    <s v="A236"/>
    <s v="LinkedIn"/>
    <s v="2024-08-19"/>
    <s v="Video"/>
    <x v="8"/>
    <s v="ShotOniPhone"/>
    <n v="3605"/>
    <n v="206"/>
    <n v="921"/>
    <n v="852"/>
    <n v="11660"/>
    <n v="182635"/>
    <s v="iPhone 16 Launch"/>
    <n v="2.590960111698196"/>
  </r>
  <r>
    <s v="A237"/>
    <s v="Twitter"/>
    <s v="2024-10-22"/>
    <s v="Carousel"/>
    <x v="2"/>
    <s v="Innovation"/>
    <n v="7622"/>
    <n v="529"/>
    <n v="720"/>
    <n v="1015"/>
    <n v="71322"/>
    <n v="86819"/>
    <s v="MacBook Air M3 Campaign"/>
    <n v="10.217809465669957"/>
  </r>
  <r>
    <s v="A238"/>
    <s v="Twitter"/>
    <s v="2024-07-16"/>
    <s v="Tweet"/>
    <x v="7"/>
    <s v="AppleEvent"/>
    <n v="8767"/>
    <n v="974"/>
    <n v="733"/>
    <n v="1587"/>
    <n v="74927"/>
    <n v="113770"/>
    <s v="Apple Watch Ultra 2 Launch"/>
    <n v="9.2062933989628206"/>
  </r>
  <r>
    <s v="A239"/>
    <s v="YouTube"/>
    <d v="2025-09-10T00:00:00"/>
    <s v="Image"/>
    <x v="1"/>
    <s v="AppleInnovation"/>
    <n v="13613"/>
    <n v="350"/>
    <n v="809"/>
    <n v="2013"/>
    <n v="20471"/>
    <n v="198038"/>
    <s v="Apple Event September 2025"/>
    <n v="7.4591745018632789"/>
  </r>
  <r>
    <s v="A240"/>
    <s v="LinkedIn"/>
    <d v="2025-09-11T00:00:00"/>
    <s v="Video"/>
    <x v="5"/>
    <s v="AppleLifestyle"/>
    <n v="21901"/>
    <n v="1308"/>
    <n v="724"/>
    <n v="2183"/>
    <n v="15996"/>
    <n v="230961"/>
    <s v="Apple Event September 2025"/>
    <n v="10.362355549205276"/>
  </r>
  <r>
    <s v="A241"/>
    <s v="Twitter"/>
    <s v="2025-01-18"/>
    <s v="Tweet"/>
    <x v="8"/>
    <s v="ShotOniPhone"/>
    <n v="12589"/>
    <n v="346"/>
    <n v="459"/>
    <n v="1407"/>
    <n v="29254"/>
    <n v="198059"/>
    <s v="Sustainability Awareness Drive"/>
    <n v="6.7626313371268161"/>
  </r>
  <r>
    <s v="A242"/>
    <s v="YouTube"/>
    <d v="2025-09-12T00:00:00"/>
    <s v="Video"/>
    <x v="5"/>
    <s v="AppleLifestyle"/>
    <n v="15918"/>
    <n v="1114"/>
    <n v="392"/>
    <n v="1641"/>
    <n v="28044"/>
    <n v="118714"/>
    <s v="Apple Event September 2025"/>
    <n v="14.677291642097815"/>
  </r>
  <r>
    <s v="A243"/>
    <s v="LinkedIn"/>
    <s v="2025-03-06"/>
    <s v="Tweet"/>
    <x v="7"/>
    <s v="AppleEvent"/>
    <n v="22119"/>
    <n v="899"/>
    <n v="642"/>
    <n v="410"/>
    <n v="49490"/>
    <n v="229420"/>
    <s v="iPhone 16 Launch"/>
    <n v="10.312963124400662"/>
  </r>
  <r>
    <s v="A244"/>
    <s v="Instagram"/>
    <d v="2025-09-13T00:00:00"/>
    <s v="Video"/>
    <x v="8"/>
    <s v="ShotOniPhone"/>
    <n v="15046"/>
    <n v="281"/>
    <n v="515"/>
    <n v="550"/>
    <n v="22583"/>
    <n v="64596"/>
    <s v="Apple Event September 2025"/>
    <n v="24.524738373893122"/>
  </r>
  <r>
    <s v="A245"/>
    <s v="YouTube"/>
    <s v="2025-01-12"/>
    <s v="Image"/>
    <x v="3"/>
    <s v="iPadPro"/>
    <n v="4590"/>
    <n v="713"/>
    <n v="479"/>
    <n v="2730"/>
    <n v="41050"/>
    <n v="204246"/>
    <s v="Sustainability Awareness Drive"/>
    <n v="2.8308999931455205"/>
  </r>
  <r>
    <s v="A246"/>
    <s v="Twitter"/>
    <s v="2024-10-11"/>
    <s v="Carousel"/>
    <x v="7"/>
    <s v="AppleEvent"/>
    <n v="19447"/>
    <n v="1014"/>
    <n v="256"/>
    <n v="2354"/>
    <n v="5472"/>
    <n v="104106"/>
    <s v="Apple Watch Ultra 2 Launch"/>
    <n v="19.899909707413599"/>
  </r>
  <r>
    <s v="A247"/>
    <s v="Instagram"/>
    <s v="2024-08-27"/>
    <s v="Image"/>
    <x v="9"/>
    <m/>
    <n v="6324"/>
    <n v="908"/>
    <n v="375"/>
    <n v="758"/>
    <n v="34850"/>
    <n v="241039"/>
    <s v="Apple Watch Ultra 2 Launch"/>
    <n v="3.1559208260903837"/>
  </r>
  <r>
    <s v="A248"/>
    <s v="Instagram"/>
    <d v="2025-09-14T00:00:00"/>
    <s v="Carousel"/>
    <x v="3"/>
    <s v="iPhone16"/>
    <n v="12787"/>
    <n v="945"/>
    <n v="974"/>
    <n v="1407"/>
    <n v="4037"/>
    <n v="99182"/>
    <s v="Apple Event September 2025"/>
    <n v="14.827287209372669"/>
  </r>
  <r>
    <s v="A249"/>
    <s v="Instagram"/>
    <s v="2024-07-18"/>
    <s v="Video"/>
    <x v="9"/>
    <m/>
    <n v="11111"/>
    <n v="1222"/>
    <n v="367"/>
    <n v="507"/>
    <n v="14129"/>
    <n v="127163"/>
    <s v="MacBook Air M3 Campaign"/>
    <n v="9.9871818060284827"/>
  </r>
  <r>
    <s v="A250"/>
    <s v="YouTube"/>
    <s v="2024-06-22"/>
    <s v="Tweet"/>
    <x v="6"/>
    <s v="Health"/>
    <n v="7342"/>
    <n v="906"/>
    <n v="902"/>
    <n v="1199"/>
    <n v="68488"/>
    <n v="79310"/>
    <s v="Apple Watch Ultra 2 Launch"/>
    <n v="11.537006682637751"/>
  </r>
  <r>
    <s v="A251"/>
    <s v="Twitter"/>
    <d v="2025-09-15T00:00:00"/>
    <s v="Image"/>
    <x v="5"/>
    <s v="AppleLifestyle"/>
    <n v="18389"/>
    <n v="670"/>
    <n v="655"/>
    <n v="321"/>
    <n v="21869"/>
    <n v="96088"/>
    <s v="Apple Event September 2025"/>
    <n v="20.516609774373489"/>
  </r>
  <r>
    <s v="A252"/>
    <s v="Instagram"/>
    <s v="2025-04-28"/>
    <s v="Carousel"/>
    <x v="3"/>
    <s v="iPhone16"/>
    <n v="10659"/>
    <n v="1342"/>
    <n v="408"/>
    <n v="709"/>
    <n v="16309"/>
    <n v="168803"/>
    <s v="Sustainability Awareness Drive"/>
    <n v="7.3511726687321906"/>
  </r>
  <r>
    <s v="A253"/>
    <s v="LinkedIn"/>
    <d v="2025-09-16T00:00:00"/>
    <s v="Image"/>
    <x v="9"/>
    <m/>
    <n v="16043"/>
    <n v="595"/>
    <n v="923"/>
    <n v="1194"/>
    <n v="52613"/>
    <n v="179978"/>
    <s v="Apple Event September 2025"/>
    <n v="9.7573036704486107"/>
  </r>
  <r>
    <s v="A254"/>
    <s v="Instagram"/>
    <s v="2025-01-14"/>
    <s v="Carousel"/>
    <x v="3"/>
    <s v="iPhone16"/>
    <n v="24350"/>
    <n v="460"/>
    <n v="666"/>
    <n v="814"/>
    <n v="21120"/>
    <n v="76914"/>
    <s v="Apple Watch Ultra 2 Launch"/>
    <n v="33.12270847960059"/>
  </r>
  <r>
    <s v="A255"/>
    <s v="Instagram"/>
    <s v="2025-04-03"/>
    <s v="Image"/>
    <x v="10"/>
    <s v="AppleEarth"/>
    <n v="10837"/>
    <n v="1004"/>
    <n v="922"/>
    <n v="1108"/>
    <n v="36807"/>
    <n v="150350"/>
    <s v="Sustainability Awareness Drive"/>
    <n v="8.4888593282341205"/>
  </r>
  <r>
    <s v="A256"/>
    <s v="YouTube"/>
    <d v="2025-09-17T00:00:00"/>
    <s v="Carousel"/>
    <x v="5"/>
    <s v="AppleLifestyle"/>
    <n v="2117"/>
    <n v="1133"/>
    <n v="203"/>
    <n v="1173"/>
    <n v="40125"/>
    <n v="85379"/>
    <s v="Apple Event September 2025"/>
    <n v="4.0443200318579509"/>
  </r>
  <r>
    <s v="A257"/>
    <s v="YouTube"/>
    <s v="2025-04-06"/>
    <s v="Carousel"/>
    <x v="3"/>
    <s v="iPhone16"/>
    <n v="15917"/>
    <n v="1479"/>
    <n v="196"/>
    <n v="313"/>
    <n v="48524"/>
    <n v="249684"/>
    <s v="iPhone 16 Launch"/>
    <n v="7.0457057720959293"/>
  </r>
  <r>
    <s v="A258"/>
    <s v="Twitter"/>
    <s v="2024-08-05"/>
    <s v="Video"/>
    <x v="0"/>
    <s v="HealthTech"/>
    <n v="20935"/>
    <n v="1104"/>
    <n v="876"/>
    <n v="1270"/>
    <n v="21454"/>
    <n v="208722"/>
    <s v="Sustainability Awareness Drive"/>
    <n v="10.978718103506099"/>
  </r>
  <r>
    <s v="A259"/>
    <s v="LinkedIn"/>
    <s v="2025-02-10"/>
    <s v="Carousel"/>
    <x v="1"/>
    <s v="AppleInnovation"/>
    <n v="16309"/>
    <n v="1449"/>
    <n v="838"/>
    <n v="2434"/>
    <n v="2940"/>
    <n v="217953"/>
    <s v="iPhone 16 Launch"/>
    <n v="8.532114721981344"/>
  </r>
  <r>
    <s v="A260"/>
    <s v="YouTube"/>
    <s v="2025-02-12"/>
    <s v="Video"/>
    <x v="1"/>
    <s v="AppleInnovation"/>
    <n v="15234"/>
    <n v="1276"/>
    <n v="670"/>
    <n v="1860"/>
    <n v="60397"/>
    <n v="86413"/>
    <s v="MacBook Air M3 Campaign"/>
    <n v="19.881267864788864"/>
  </r>
  <r>
    <s v="A261"/>
    <s v="Instagram"/>
    <s v="2024-10-27"/>
    <s v="Carousel"/>
    <x v="0"/>
    <s v="HealthTech"/>
    <n v="7560"/>
    <n v="1139"/>
    <n v="248"/>
    <n v="1624"/>
    <n v="72237"/>
    <n v="177084"/>
    <s v="Sustainability Awareness Drive"/>
    <n v="5.0524045085947913"/>
  </r>
  <r>
    <s v="A262"/>
    <s v="Twitter"/>
    <s v="2025-01-18"/>
    <s v="Tweet"/>
    <x v="8"/>
    <s v="ShotOniPhone"/>
    <n v="22673"/>
    <n v="1053"/>
    <n v="169"/>
    <n v="1566"/>
    <n v="9417"/>
    <n v="221187"/>
    <s v="iPhone 16 Launch"/>
    <n v="10.803076130152315"/>
  </r>
  <r>
    <s v="A263"/>
    <s v="Instagram"/>
    <s v="2024-08-20"/>
    <s v="Tweet"/>
    <x v="4"/>
    <m/>
    <n v="2846"/>
    <n v="792"/>
    <n v="902"/>
    <n v="2469"/>
    <n v="12130"/>
    <n v="47151"/>
    <s v="Apple Watch Ultra 2 Launch"/>
    <n v="9.628639901592754"/>
  </r>
  <r>
    <s v="A264"/>
    <s v="Instagram"/>
    <s v="2025-01-30"/>
    <s v="Tweet"/>
    <x v="8"/>
    <s v="ShotOniPhone"/>
    <n v="12954"/>
    <n v="913"/>
    <n v="722"/>
    <n v="1049"/>
    <n v="475"/>
    <n v="97716"/>
    <s v="Apple Watch Ultra 2 Launch"/>
    <n v="14.930001228048631"/>
  </r>
  <r>
    <s v="A265"/>
    <s v="YouTube"/>
    <s v="2025-02-20"/>
    <s v="Carousel"/>
    <x v="7"/>
    <s v="AppleEvent"/>
    <n v="15703"/>
    <n v="1381"/>
    <n v="639"/>
    <n v="984"/>
    <n v="10967"/>
    <n v="133747"/>
    <s v="MacBook Air M3 Campaign"/>
    <n v="13.251138343289941"/>
  </r>
  <r>
    <s v="A266"/>
    <s v="Twitter"/>
    <s v="2024-11-25"/>
    <s v="Video"/>
    <x v="7"/>
    <s v="AppleEvent"/>
    <n v="17385"/>
    <n v="831"/>
    <n v="568"/>
    <n v="2227"/>
    <n v="49351"/>
    <n v="207450"/>
    <s v="Sustainability Awareness Drive"/>
    <n v="9.0547119787900705"/>
  </r>
  <r>
    <s v="A267"/>
    <s v="LinkedIn"/>
    <s v="2024-10-04"/>
    <s v="Video"/>
    <x v="3"/>
    <s v="iPhone16"/>
    <n v="15746"/>
    <n v="258"/>
    <n v="839"/>
    <n v="2656"/>
    <n v="66614"/>
    <n v="213724"/>
    <s v="Sustainability Awareness Drive"/>
    <n v="7.8807246729426739"/>
  </r>
  <r>
    <s v="A268"/>
    <s v="LinkedIn"/>
    <s v="2025-04-13"/>
    <s v="Carousel"/>
    <x v="9"/>
    <m/>
    <n v="24700"/>
    <n v="327"/>
    <n v="999"/>
    <n v="994"/>
    <n v="59400"/>
    <n v="243502"/>
    <s v="Sustainability Awareness Drive"/>
    <n v="10.688207899729777"/>
  </r>
  <r>
    <s v="A269"/>
    <s v="YouTube"/>
    <s v="2024-11-05"/>
    <s v="Tweet"/>
    <x v="9"/>
    <m/>
    <n v="8469"/>
    <n v="935"/>
    <n v="211"/>
    <n v="2635"/>
    <n v="21890"/>
    <n v="184539"/>
    <s v="MacBook Air M3 Campaign"/>
    <n v="5.2102807536618281"/>
  </r>
  <r>
    <s v="A270"/>
    <s v="YouTube"/>
    <s v="2025-01-15"/>
    <s v="Tweet"/>
    <x v="1"/>
    <s v="AppleInnovation"/>
    <n v="11333"/>
    <n v="920"/>
    <n v="294"/>
    <n v="606"/>
    <n v="59490"/>
    <n v="202082"/>
    <s v="Sustainability Awareness Drive"/>
    <n v="6.2088657079799292"/>
  </r>
  <r>
    <s v="A271"/>
    <s v="Twitter"/>
    <s v="2024-10-17"/>
    <s v="Video"/>
    <x v="2"/>
    <s v="Innovation"/>
    <n v="18608"/>
    <n v="1338"/>
    <n v="365"/>
    <n v="2289"/>
    <n v="20785"/>
    <n v="161999"/>
    <s v="Apple Watch Ultra 2 Launch"/>
    <n v="12.537731714393299"/>
  </r>
  <r>
    <s v="A272"/>
    <s v="LinkedIn"/>
    <s v="2025-03-27"/>
    <s v="Tweet"/>
    <x v="8"/>
    <s v="ShotOniPhone"/>
    <n v="14819"/>
    <n v="1432"/>
    <n v="152"/>
    <n v="961"/>
    <n v="39154"/>
    <n v="154793"/>
    <s v="iPhone 16 Launch"/>
    <n v="10.596732410380314"/>
  </r>
  <r>
    <s v="A273"/>
    <s v="LinkedIn"/>
    <s v="2024-10-12"/>
    <s v="Image"/>
    <x v="10"/>
    <s v="AppleEarth"/>
    <n v="6208"/>
    <n v="725"/>
    <n v="309"/>
    <n v="848"/>
    <n v="39319"/>
    <n v="225763"/>
    <s v="Apple Watch Ultra 2 Launch"/>
    <n v="3.207788698768177"/>
  </r>
  <r>
    <s v="A274"/>
    <s v="LinkedIn"/>
    <s v="2025-01-01"/>
    <s v="Video"/>
    <x v="5"/>
    <s v="AppleLifestyle"/>
    <n v="8283"/>
    <n v="720"/>
    <n v="888"/>
    <n v="611"/>
    <n v="52791"/>
    <n v="235229"/>
    <s v="Apple Watch Ultra 2 Launch"/>
    <n v="4.2048386891072109"/>
  </r>
  <r>
    <s v="A275"/>
    <s v="Instagram"/>
    <s v="2024-08-05"/>
    <s v="Tweet"/>
    <x v="6"/>
    <s v="Health"/>
    <n v="4048"/>
    <n v="751"/>
    <n v="930"/>
    <n v="1382"/>
    <n v="16844"/>
    <n v="148177"/>
    <s v="iPhone 16 Launch"/>
    <n v="3.8663220337839208"/>
  </r>
  <r>
    <s v="A276"/>
    <s v="LinkedIn"/>
    <s v="2024-06-07"/>
    <s v="Video"/>
    <x v="3"/>
    <s v="iPadPro"/>
    <n v="8233"/>
    <n v="436"/>
    <n v="269"/>
    <n v="2037"/>
    <n v="8875"/>
    <n v="52289"/>
    <s v="Apple Watch Ultra 2 Launch"/>
    <n v="17.093461339861157"/>
  </r>
  <r>
    <s v="A277"/>
    <s v="Instagram"/>
    <s v="2025-04-06"/>
    <s v="Image"/>
    <x v="9"/>
    <m/>
    <n v="14941"/>
    <n v="1424"/>
    <n v="238"/>
    <n v="1054"/>
    <n v="20516"/>
    <n v="216048"/>
    <s v="MacBook Air M3 Campaign"/>
    <n v="7.6848663260016297"/>
  </r>
  <r>
    <s v="A278"/>
    <s v="Twitter"/>
    <s v="2024-11-26"/>
    <s v="Video"/>
    <x v="5"/>
    <s v="AppleLifestyle"/>
    <n v="14607"/>
    <n v="1458"/>
    <n v="478"/>
    <n v="334"/>
    <n v="49257"/>
    <n v="214668"/>
    <s v="iPhone 16 Launch"/>
    <n v="7.7063185942944452"/>
  </r>
  <r>
    <s v="A279"/>
    <s v="Instagram"/>
    <s v="2024-09-02"/>
    <s v="Video"/>
    <x v="3"/>
    <s v="iPadPro"/>
    <n v="11765"/>
    <n v="693"/>
    <n v="729"/>
    <n v="744"/>
    <n v="97772"/>
    <n v="194243"/>
    <s v="Apple Watch Ultra 2 Launch"/>
    <n v="6.7889190344053576"/>
  </r>
  <r>
    <s v="A280"/>
    <s v="Twitter"/>
    <d v="2025-09-18T00:00:00"/>
    <s v="Video"/>
    <x v="5"/>
    <s v="AppleLifestyle"/>
    <n v="3828"/>
    <n v="203"/>
    <n v="506"/>
    <n v="2440"/>
    <n v="63650"/>
    <n v="126365"/>
    <s v="Apple Event September 2025"/>
    <n v="3.5903929094290348"/>
  </r>
  <r>
    <s v="A281"/>
    <s v="LinkedIn"/>
    <s v="2025-03-22"/>
    <s v="Video"/>
    <x v="3"/>
    <s v="iPhone16"/>
    <n v="3917"/>
    <n v="865"/>
    <n v="759"/>
    <n v="2282"/>
    <n v="56125"/>
    <n v="154014"/>
    <s v="Apple Watch Ultra 2 Launch"/>
    <n v="3.5977248821535706"/>
  </r>
  <r>
    <s v="A282"/>
    <s v="LinkedIn"/>
    <s v="2024-10-03"/>
    <s v="Image"/>
    <x v="3"/>
    <s v="iPadPro"/>
    <n v="22618"/>
    <n v="641"/>
    <n v="416"/>
    <n v="1530"/>
    <n v="18395"/>
    <n v="215211"/>
    <s v="MacBook Air M3 Campaign"/>
    <n v="11.000831741871931"/>
  </r>
  <r>
    <s v="A283"/>
    <s v="Twitter"/>
    <s v="2025-05-09"/>
    <s v="Carousel"/>
    <x v="6"/>
    <s v="Health"/>
    <n v="8988"/>
    <n v="228"/>
    <n v="766"/>
    <n v="652"/>
    <n v="63789"/>
    <n v="219785"/>
    <s v="Sustainability Awareness Drive"/>
    <n v="4.5417112177810131"/>
  </r>
  <r>
    <s v="A284"/>
    <s v="YouTube"/>
    <s v="2024-09-17"/>
    <s v="Video"/>
    <x v="5"/>
    <s v="AppleLifestyle"/>
    <n v="20410"/>
    <n v="1332"/>
    <n v="472"/>
    <n v="1202"/>
    <n v="9418"/>
    <n v="200806"/>
    <s v="Apple Watch Ultra 2 Launch"/>
    <n v="11.062418453631864"/>
  </r>
  <r>
    <s v="A285"/>
    <s v="Twitter"/>
    <s v="2024-07-18"/>
    <s v="Video"/>
    <x v="0"/>
    <s v="HealthTech"/>
    <n v="16594"/>
    <n v="809"/>
    <n v="784"/>
    <n v="1655"/>
    <n v="35505"/>
    <n v="112588"/>
    <s v="Sustainability Awareness Drive"/>
    <n v="16.153586527871532"/>
  </r>
  <r>
    <s v="A286"/>
    <s v="YouTube"/>
    <d v="2025-09-19T00:00:00"/>
    <s v="Tweet"/>
    <x v="6"/>
    <s v="Health"/>
    <n v="22128"/>
    <n v="1004"/>
    <n v="690"/>
    <n v="2048"/>
    <n v="19443"/>
    <n v="103646"/>
    <s v="Apple Event September 2025"/>
    <n v="22.984003241803833"/>
  </r>
  <r>
    <s v="A287"/>
    <s v="Instagram"/>
    <s v="2024-08-15"/>
    <s v="Video"/>
    <x v="3"/>
    <s v="iPadPro"/>
    <n v="14977"/>
    <n v="274"/>
    <n v="798"/>
    <n v="458"/>
    <n v="6636"/>
    <n v="43654"/>
    <s v="Apple Watch Ultra 2 Launch"/>
    <n v="36.76409950978146"/>
  </r>
  <r>
    <s v="A288"/>
    <s v="Instagram"/>
    <s v="2025-04-17"/>
    <s v="Tweet"/>
    <x v="6"/>
    <s v="Health"/>
    <n v="2009"/>
    <n v="1037"/>
    <n v="344"/>
    <n v="2277"/>
    <n v="85743"/>
    <n v="58743"/>
    <s v="iPhone 16 Launch"/>
    <n v="5.7709003625963939"/>
  </r>
  <r>
    <s v="A289"/>
    <s v="Instagram"/>
    <s v="2024-11-28"/>
    <s v="Carousel"/>
    <x v="5"/>
    <s v="AppleLifestyle"/>
    <n v="18644"/>
    <n v="1369"/>
    <n v="887"/>
    <n v="1256"/>
    <n v="43415"/>
    <n v="88368"/>
    <s v="Sustainability Awareness Drive"/>
    <n v="23.651095419156256"/>
  </r>
  <r>
    <s v="A290"/>
    <s v="LinkedIn"/>
    <d v="2025-09-20T00:00:00"/>
    <s v="Image"/>
    <x v="4"/>
    <m/>
    <n v="24422"/>
    <n v="327"/>
    <n v="481"/>
    <n v="2371"/>
    <n v="35340"/>
    <n v="245244"/>
    <s v="Apple Event September 2025"/>
    <n v="10.287713460879777"/>
  </r>
  <r>
    <s v="A291"/>
    <s v="Instagram"/>
    <s v="2024-11-06"/>
    <s v="Image"/>
    <x v="5"/>
    <s v="AppleLifestyle"/>
    <n v="11865"/>
    <n v="241"/>
    <n v="319"/>
    <n v="703"/>
    <n v="69596"/>
    <n v="177513"/>
    <s v="iPhone 16 Launch"/>
    <n v="6.9994873614890176"/>
  </r>
  <r>
    <s v="A292"/>
    <s v="YouTube"/>
    <s v="2024-11-17"/>
    <s v="Carousel"/>
    <x v="5"/>
    <s v="AppleLifestyle"/>
    <n v="4219"/>
    <n v="240"/>
    <n v="670"/>
    <n v="815"/>
    <n v="11978"/>
    <n v="159735"/>
    <s v="iPhone 16 Launch"/>
    <n v="3.2109431245500355"/>
  </r>
  <r>
    <s v="A293"/>
    <s v="Instagram"/>
    <s v="2025-05-14"/>
    <s v="Image"/>
    <x v="3"/>
    <s v="iPhone16"/>
    <n v="9041"/>
    <n v="1133"/>
    <n v="612"/>
    <n v="1687"/>
    <n v="28102"/>
    <n v="195683"/>
    <s v="iPhone 16 Launch"/>
    <n v="5.51197600200324"/>
  </r>
  <r>
    <s v="A294"/>
    <s v="Twitter"/>
    <s v="2024-06-19"/>
    <s v="Carousel"/>
    <x v="8"/>
    <s v="ShotOniPhone"/>
    <n v="20444"/>
    <n v="233"/>
    <n v="189"/>
    <n v="2879"/>
    <n v="28185"/>
    <n v="159891"/>
    <s v="iPhone 16 Launch"/>
    <n v="13.050140408153055"/>
  </r>
  <r>
    <s v="A295"/>
    <s v="Twitter"/>
    <s v="2025-05-06"/>
    <s v="Carousel"/>
    <x v="0"/>
    <s v="HealthTech"/>
    <n v="7287"/>
    <n v="1240"/>
    <n v="686"/>
    <n v="1255"/>
    <n v="15403"/>
    <n v="147971"/>
    <s v="Apple Watch Ultra 2 Launch"/>
    <n v="6.2262200025680707"/>
  </r>
  <r>
    <s v="A296"/>
    <s v="LinkedIn"/>
    <s v="2025-02-11"/>
    <s v="Carousel"/>
    <x v="10"/>
    <s v="AppleEarth"/>
    <n v="3619"/>
    <n v="1376"/>
    <n v="410"/>
    <n v="2499"/>
    <n v="58146"/>
    <n v="52149"/>
    <s v="Apple Watch Ultra 2 Launch"/>
    <n v="10.364532397553166"/>
  </r>
  <r>
    <s v="A297"/>
    <s v="Twitter"/>
    <s v="2024-12-24"/>
    <s v="Image"/>
    <x v="9"/>
    <m/>
    <n v="10512"/>
    <n v="1197"/>
    <n v="544"/>
    <n v="2012"/>
    <n v="10245"/>
    <n v="140102"/>
    <s v="Apple Watch Ultra 2 Launch"/>
    <n v="8.7457709383163689"/>
  </r>
  <r>
    <s v="A298"/>
    <s v="YouTube"/>
    <d v="2025-09-24T00:00:00"/>
    <s v="Tweet"/>
    <x v="7"/>
    <s v="AppleEvent"/>
    <n v="3342"/>
    <n v="787"/>
    <n v="375"/>
    <n v="907"/>
    <n v="85823"/>
    <n v="99189"/>
    <s v="Apple Event September 2025"/>
    <n v="4.5408260996683101"/>
  </r>
  <r>
    <s v="A299"/>
    <s v="Instagram"/>
    <d v="2025-09-25T00:00:00"/>
    <s v="Carousel"/>
    <x v="8"/>
    <s v="ShotOniPhone"/>
    <n v="12568"/>
    <n v="541"/>
    <n v="273"/>
    <n v="2767"/>
    <n v="22331"/>
    <n v="192747"/>
    <s v="Apple Event September 2025"/>
    <n v="6.9427799135654515"/>
  </r>
  <r>
    <s v="A300"/>
    <s v="LinkedIn"/>
    <d v="2025-09-26T00:00:00"/>
    <s v="Video"/>
    <x v="7"/>
    <s v="AppleEvent"/>
    <n v="21216"/>
    <n v="226"/>
    <n v="187"/>
    <n v="1573"/>
    <n v="62688"/>
    <n v="111031"/>
    <s v="Apple Event September 2025"/>
    <n v="19.48014518467815"/>
  </r>
  <r>
    <m/>
    <m/>
    <m/>
    <m/>
    <x v="11"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s v="YouTube"/>
    <s v="2024-12-23"/>
    <s v="Image"/>
    <x v="0"/>
    <s v="HealthTech"/>
    <n v="24516"/>
    <n v="976"/>
    <n v="974"/>
    <n v="2675"/>
    <n v="23275"/>
    <n v="202932"/>
    <s v="Apple Watch Ultra 2 Launch"/>
    <n v="13.041807107799658"/>
  </r>
  <r>
    <s v="A2"/>
    <s v="LinkedIn"/>
    <d v="2025-09-03T00:00:00"/>
    <s v="Image"/>
    <x v="1"/>
    <s v="AppleInnovation"/>
    <n v="4779"/>
    <n v="1110"/>
    <n v="436"/>
    <n v="1574"/>
    <n v="77167"/>
    <n v="71585"/>
    <s v="Apple Event September 2025"/>
    <n v="8.8356499266606132"/>
  </r>
  <r>
    <s v="A3"/>
    <s v="Instagram"/>
    <s v="2025-05-12"/>
    <s v="Tweet"/>
    <x v="2"/>
    <s v="Innovation"/>
    <n v="19308"/>
    <n v="1318"/>
    <n v="795"/>
    <n v="1499"/>
    <n v="52307"/>
    <n v="193087"/>
    <s v="Sustainability Awareness Drive"/>
    <n v="11.093962825047775"/>
  </r>
  <r>
    <s v="A4"/>
    <s v="YouTube"/>
    <s v="2024-08-12"/>
    <s v="Video"/>
    <x v="3"/>
    <s v="iPadPro"/>
    <n v="3581"/>
    <n v="517"/>
    <n v="880"/>
    <n v="1925"/>
    <n v="18636"/>
    <n v="248611"/>
    <s v="iPhone 16 Launch"/>
    <n v="2.0023249172401862"/>
  </r>
  <r>
    <s v="A5"/>
    <s v="YouTube"/>
    <d v="2025-09-04T00:00:00"/>
    <s v="Video"/>
    <x v="0"/>
    <s v="HealthTech"/>
    <n v="21708"/>
    <n v="435"/>
    <n v="317"/>
    <n v="1213"/>
    <n v="70701"/>
    <n v="83585"/>
    <s v="Apple Event September 2025"/>
    <n v="26.870850032900641"/>
  </r>
  <r>
    <s v="A6"/>
    <s v="LinkedIn"/>
    <d v="2025-09-05T00:00:00"/>
    <s v="Image"/>
    <x v="4"/>
    <m/>
    <n v="14677"/>
    <n v="533"/>
    <n v="759"/>
    <n v="753"/>
    <n v="23275"/>
    <n v="66958"/>
    <s v="Apple Event September 2025"/>
    <n v="23.849278652289495"/>
  </r>
  <r>
    <s v="A7"/>
    <s v="Instagram"/>
    <s v="2024-06-24"/>
    <s v="Carousel"/>
    <x v="5"/>
    <s v="AppleLifestyle"/>
    <n v="7713"/>
    <n v="575"/>
    <n v="417"/>
    <n v="336"/>
    <n v="61660"/>
    <n v="66017"/>
    <s v="iPhone 16 Launch"/>
    <n v="13.185997546086615"/>
  </r>
  <r>
    <s v="A8"/>
    <s v="Instagram"/>
    <s v="2024-07-13"/>
    <s v="Video"/>
    <x v="6"/>
    <s v="Health"/>
    <n v="18639"/>
    <n v="1360"/>
    <n v="898"/>
    <n v="2011"/>
    <n v="42841"/>
    <n v="247779"/>
    <s v="iPhone 16 Launch"/>
    <n v="8.4337252148083568"/>
  </r>
  <r>
    <s v="A9"/>
    <s v="YouTube"/>
    <s v="2024-08-30"/>
    <s v="Carousel"/>
    <x v="1"/>
    <s v="AppleInnovation"/>
    <n v="6804"/>
    <n v="787"/>
    <n v="970"/>
    <n v="1095"/>
    <n v="56343"/>
    <n v="164677"/>
    <s v="Apple Watch Ultra 2 Launch"/>
    <n v="5.1986616224487934"/>
  </r>
  <r>
    <s v="A10"/>
    <s v="Twitter"/>
    <s v="2025-03-11"/>
    <s v="Video"/>
    <x v="7"/>
    <s v="AppleEvent"/>
    <n v="20222"/>
    <n v="712"/>
    <n v="604"/>
    <n v="1272"/>
    <n v="71598"/>
    <n v="216422"/>
    <s v="Sustainability Awareness Drive"/>
    <n v="9.9518533235992646"/>
  </r>
  <r>
    <s v="A11"/>
    <s v="YouTube"/>
    <s v="2025-02-02"/>
    <s v="Carousel"/>
    <x v="3"/>
    <s v="iPadPro"/>
    <n v="12136"/>
    <n v="1117"/>
    <n v="834"/>
    <n v="892"/>
    <n v="24675"/>
    <n v="183273"/>
    <s v="Sustainability Awareness Drive"/>
    <n v="7.6863476889667322"/>
  </r>
  <r>
    <s v="A12"/>
    <s v="YouTube"/>
    <s v="2024-07-21"/>
    <s v="Tweet"/>
    <x v="1"/>
    <s v="AppleInnovation"/>
    <n v="2009"/>
    <n v="1072"/>
    <n v="550"/>
    <n v="1437"/>
    <n v="22982"/>
    <n v="69426"/>
    <s v="iPhone 16 Launch"/>
    <n v="5.2300290957278257"/>
  </r>
  <r>
    <s v="A13"/>
    <s v="YouTube"/>
    <s v="2024-11-18"/>
    <s v="Carousel"/>
    <x v="5"/>
    <s v="AppleLifestyle"/>
    <n v="21255"/>
    <n v="1452"/>
    <n v="625"/>
    <n v="1624"/>
    <n v="21282"/>
    <n v="57778"/>
    <s v="MacBook Air M3 Campaign"/>
    <n v="40.382152376337018"/>
  </r>
  <r>
    <s v="A14"/>
    <s v="YouTube"/>
    <d v="2025-09-06T00:00:00"/>
    <s v="Tweet"/>
    <x v="6"/>
    <s v="Health"/>
    <n v="7124"/>
    <n v="469"/>
    <n v="851"/>
    <n v="2571"/>
    <n v="33802"/>
    <n v="216313"/>
    <s v="Apple Event September 2025"/>
    <n v="3.903602649863855"/>
  </r>
  <r>
    <s v="A15"/>
    <s v="LinkedIn"/>
    <d v="2025-09-07T00:00:00"/>
    <s v="Tweet"/>
    <x v="2"/>
    <s v="Innovation"/>
    <n v="3015"/>
    <n v="997"/>
    <n v="783"/>
    <n v="617"/>
    <n v="77167"/>
    <n v="82229"/>
    <s v="Apple Event September 2025"/>
    <n v="5.8312760704860818"/>
  </r>
  <r>
    <s v="A16"/>
    <s v="Instagram"/>
    <s v="2024-08-26"/>
    <s v="Carousel"/>
    <x v="6"/>
    <s v="Health"/>
    <n v="4193"/>
    <n v="924"/>
    <n v="707"/>
    <n v="2696"/>
    <n v="55075"/>
    <n v="126652"/>
    <s v="iPhone 16 Launch"/>
    <n v="4.5984271863057824"/>
  </r>
  <r>
    <s v="A17"/>
    <s v="LinkedIn"/>
    <s v="2025-05-05"/>
    <s v="Tweet"/>
    <x v="3"/>
    <s v="iPhone16"/>
    <n v="10415"/>
    <n v="1388"/>
    <n v="725"/>
    <n v="2462"/>
    <n v="53082"/>
    <n v="168267"/>
    <s v="MacBook Air M3 Campaign"/>
    <n v="7.4453101321114659"/>
  </r>
  <r>
    <s v="A18"/>
    <s v="LinkedIn"/>
    <s v="2024-08-19"/>
    <s v="Image"/>
    <x v="6"/>
    <s v="Health"/>
    <n v="15550"/>
    <n v="204"/>
    <n v="279"/>
    <n v="1646"/>
    <n v="35819"/>
    <n v="219436"/>
    <s v="Apple Watch Ultra 2 Launch"/>
    <n v="7.3064583751070931"/>
  </r>
  <r>
    <s v="A19"/>
    <s v="LinkedIn"/>
    <s v="2024-06-23"/>
    <s v="Tweet"/>
    <x v="3"/>
    <s v="iPhone16"/>
    <n v="16512"/>
    <n v="1050"/>
    <n v="971"/>
    <n v="1891"/>
    <n v="15865"/>
    <n v="166503"/>
    <s v="iPhone 16 Launch"/>
    <n v="11.13073037723044"/>
  </r>
  <r>
    <s v="A20"/>
    <s v="YouTube"/>
    <s v="2024-09-09"/>
    <s v="Video"/>
    <x v="2"/>
    <s v="Innovation"/>
    <n v="6158"/>
    <n v="277"/>
    <n v="512"/>
    <n v="2189"/>
    <n v="76881"/>
    <n v="124878"/>
    <s v="iPhone 16 Launch"/>
    <n v="5.5630295168084052"/>
  </r>
  <r>
    <s v="A21"/>
    <s v="Twitter"/>
    <d v="2025-09-08T00:00:00"/>
    <s v="Carousel"/>
    <x v="8"/>
    <s v="ShotOniPhone"/>
    <n v="22309"/>
    <n v="773"/>
    <n v="854"/>
    <n v="2387"/>
    <n v="72396"/>
    <n v="97056"/>
    <s v="Apple Event September 2025"/>
    <n v="24.662050774810417"/>
  </r>
  <r>
    <s v="A22"/>
    <s v="Instagram"/>
    <s v="2025-02-27"/>
    <s v="Image"/>
    <x v="5"/>
    <s v="AppleLifestyle"/>
    <n v="8970"/>
    <n v="331"/>
    <n v="968"/>
    <n v="2296"/>
    <n v="24613"/>
    <n v="198562"/>
    <s v="iPhone 16 Launch"/>
    <n v="5.1716844109144757"/>
  </r>
  <r>
    <s v="A23"/>
    <s v="Twitter"/>
    <s v="2024-11-06"/>
    <s v="Carousel"/>
    <x v="3"/>
    <s v="iPhone16"/>
    <n v="8938"/>
    <n v="800"/>
    <n v="842"/>
    <n v="2072"/>
    <n v="31736"/>
    <n v="59975"/>
    <s v="iPhone 16 Launch"/>
    <n v="17.64068361817424"/>
  </r>
  <r>
    <s v="A24"/>
    <s v="LinkedIn"/>
    <s v="2025-01-23"/>
    <s v="Video"/>
    <x v="7"/>
    <s v="AppleEvent"/>
    <n v="23168"/>
    <n v="1265"/>
    <n v="441"/>
    <n v="1612"/>
    <n v="66615"/>
    <n v="197795"/>
    <s v="iPhone 16 Launch"/>
    <n v="12.57564650269218"/>
  </r>
  <r>
    <s v="A25"/>
    <s v="LinkedIn"/>
    <d v="2025-09-09T00:00:00"/>
    <s v="Video"/>
    <x v="6"/>
    <s v="Health"/>
    <n v="15772"/>
    <n v="288"/>
    <n v="520"/>
    <n v="1585"/>
    <n v="59182"/>
    <n v="194351"/>
    <s v="Apple Event September 2025"/>
    <n v="8.530956876990599"/>
  </r>
  <r>
    <s v="A26"/>
    <s v="Twitter"/>
    <s v="2025-04-05"/>
    <s v="Video"/>
    <x v="6"/>
    <s v="Health"/>
    <n v="22384"/>
    <n v="601"/>
    <n v="943"/>
    <n v="515"/>
    <n v="41309"/>
    <n v="249373"/>
    <s v="Apple Watch Ultra 2 Launch"/>
    <n v="9.595264924430472"/>
  </r>
  <r>
    <s v="A27"/>
    <s v="Twitter"/>
    <s v="2024-09-17"/>
    <s v="Tweet"/>
    <x v="7"/>
    <s v="AppleEvent"/>
    <n v="20017"/>
    <n v="495"/>
    <n v="178"/>
    <n v="2683"/>
    <n v="32244"/>
    <n v="182633"/>
    <s v="Apple Watch Ultra 2 Launch"/>
    <n v="11.32873029518214"/>
  </r>
  <r>
    <s v="A28"/>
    <s v="Twitter"/>
    <s v="2025-03-04"/>
    <s v="Tweet"/>
    <x v="4"/>
    <m/>
    <n v="12344"/>
    <n v="815"/>
    <n v="298"/>
    <n v="2439"/>
    <n v="6259"/>
    <n v="237133"/>
    <s v="iPhone 16 Launch"/>
    <n v="5.6748744375519227"/>
  </r>
  <r>
    <s v="A29"/>
    <s v="LinkedIn"/>
    <d v="2025-09-10T00:00:00"/>
    <s v="Carousel"/>
    <x v="9"/>
    <m/>
    <n v="9266"/>
    <n v="999"/>
    <n v="928"/>
    <n v="2700"/>
    <n v="12264"/>
    <n v="128397"/>
    <s v="Apple Event September 2025"/>
    <n v="8.7174933993784904"/>
  </r>
  <r>
    <s v="A30"/>
    <s v="LinkedIn"/>
    <s v="2025-02-25"/>
    <s v="Carousel"/>
    <x v="8"/>
    <s v="ShotOniPhone"/>
    <n v="10702"/>
    <n v="621"/>
    <n v="445"/>
    <n v="2918"/>
    <n v="54808"/>
    <n v="220225"/>
    <s v="Apple Watch Ultra 2 Launch"/>
    <n v="5.3436258372119427"/>
  </r>
  <r>
    <s v="A31"/>
    <s v="Instagram"/>
    <s v="2024-12-16"/>
    <s v="Image"/>
    <x v="3"/>
    <s v="iPadPro"/>
    <n v="2384"/>
    <n v="1246"/>
    <n v="160"/>
    <n v="2004"/>
    <n v="2701"/>
    <n v="73142"/>
    <s v="Apple Watch Ultra 2 Launch"/>
    <n v="5.1817013480626724"/>
  </r>
  <r>
    <s v="A32"/>
    <s v="Instagram"/>
    <s v="2024-07-31"/>
    <s v="Image"/>
    <x v="3"/>
    <s v="iPhone16"/>
    <n v="2404"/>
    <n v="774"/>
    <n v="661"/>
    <n v="662"/>
    <n v="12676"/>
    <n v="66916"/>
    <s v="Apple Watch Ultra 2 Launch"/>
    <n v="5.7370434574690652"/>
  </r>
  <r>
    <s v="A33"/>
    <s v="LinkedIn"/>
    <d v="2025-09-11T00:00:00"/>
    <s v="Carousel"/>
    <x v="7"/>
    <s v="AppleEvent"/>
    <n v="10175"/>
    <n v="342"/>
    <n v="825"/>
    <n v="2904"/>
    <n v="15954"/>
    <n v="104324"/>
    <s v="Apple Event September 2025"/>
    <n v="10.871899083624093"/>
  </r>
  <r>
    <s v="A34"/>
    <s v="Twitter"/>
    <d v="2025-09-12T00:00:00"/>
    <s v="Tweet"/>
    <x v="2"/>
    <s v="Innovation"/>
    <n v="17158"/>
    <n v="1192"/>
    <n v="262"/>
    <n v="2016"/>
    <n v="28771"/>
    <n v="216037"/>
    <s v="Apple Event September 2025"/>
    <n v="8.6151909163708069"/>
  </r>
  <r>
    <s v="A35"/>
    <s v="Twitter"/>
    <s v="2024-11-30"/>
    <s v="Video"/>
    <x v="3"/>
    <s v="iPhone16"/>
    <n v="14763"/>
    <n v="864"/>
    <n v="336"/>
    <n v="1493"/>
    <n v="33310"/>
    <n v="165932"/>
    <s v="iPhone 16 Launch"/>
    <n v="9.6202058674637794"/>
  </r>
  <r>
    <s v="A36"/>
    <s v="Instagram"/>
    <s v="2025-04-19"/>
    <s v="Carousel"/>
    <x v="9"/>
    <m/>
    <n v="20384"/>
    <n v="344"/>
    <n v="956"/>
    <n v="655"/>
    <n v="67621"/>
    <n v="175720"/>
    <s v="Sustainability Awareness Drive"/>
    <n v="12.340086501251992"/>
  </r>
  <r>
    <s v="A37"/>
    <s v="LinkedIn"/>
    <s v="2025-01-06"/>
    <s v="Image"/>
    <x v="2"/>
    <s v="Innovation"/>
    <n v="11860"/>
    <n v="1448"/>
    <n v="893"/>
    <n v="490"/>
    <n v="23518"/>
    <n v="206205"/>
    <s v="Apple Watch Ultra 2 Launch"/>
    <n v="6.8868359157149435"/>
  </r>
  <r>
    <s v="A38"/>
    <s v="Instagram"/>
    <s v="2025-02-17"/>
    <s v="Tweet"/>
    <x v="1"/>
    <s v="AppleInnovation"/>
    <n v="7989"/>
    <n v="1206"/>
    <n v="376"/>
    <n v="2769"/>
    <n v="27550"/>
    <n v="221749"/>
    <s v="Sustainability Awareness Drive"/>
    <n v="4.3161412227338118"/>
  </r>
  <r>
    <s v="A39"/>
    <s v="Instagram"/>
    <d v="2025-09-13T00:00:00"/>
    <s v="Carousel"/>
    <x v="5"/>
    <s v="AppleLifestyle"/>
    <n v="17106"/>
    <n v="702"/>
    <n v="459"/>
    <n v="999"/>
    <n v="59627"/>
    <n v="136059"/>
    <s v="Apple Event September 2025"/>
    <n v="13.425793222058077"/>
  </r>
  <r>
    <s v="A40"/>
    <s v="YouTube"/>
    <d v="2025-09-14T00:00:00"/>
    <s v="Carousel"/>
    <x v="6"/>
    <s v="Health"/>
    <n v="19844"/>
    <n v="1020"/>
    <n v="247"/>
    <n v="2354"/>
    <n v="37792"/>
    <n v="138317"/>
    <s v="Apple Event September 2025"/>
    <n v="15.262765965138053"/>
  </r>
  <r>
    <s v="A41"/>
    <s v="YouTube"/>
    <d v="2025-09-15T00:00:00"/>
    <s v="Tweet"/>
    <x v="1"/>
    <s v="AppleInnovation"/>
    <n v="5636"/>
    <n v="303"/>
    <n v="204"/>
    <n v="2480"/>
    <n v="7377"/>
    <n v="241207"/>
    <s v="Apple Event September 2025"/>
    <n v="2.5467751765081443"/>
  </r>
  <r>
    <s v="A42"/>
    <s v="YouTube"/>
    <s v="2025-03-05"/>
    <s v="Carousel"/>
    <x v="3"/>
    <s v="iPhone16"/>
    <n v="12916"/>
    <n v="1262"/>
    <n v="772"/>
    <n v="856"/>
    <n v="11496"/>
    <n v="75046"/>
    <s v="Sustainability Awareness Drive"/>
    <n v="19.921115049436349"/>
  </r>
  <r>
    <s v="A43"/>
    <s v="Twitter"/>
    <d v="2025-09-16T00:00:00"/>
    <s v="Tweet"/>
    <x v="9"/>
    <m/>
    <n v="6809"/>
    <n v="397"/>
    <n v="813"/>
    <n v="1125"/>
    <n v="12206"/>
    <n v="218136"/>
    <s v="Apple Event September 2025"/>
    <n v="3.6761469908680824"/>
  </r>
  <r>
    <s v="A44"/>
    <s v="LinkedIn"/>
    <s v="2025-03-02"/>
    <s v="Video"/>
    <x v="8"/>
    <s v="ShotOniPhone"/>
    <n v="22562"/>
    <n v="778"/>
    <n v="907"/>
    <n v="1354"/>
    <n v="34475"/>
    <n v="141459"/>
    <s v="iPhone 16 Launch"/>
    <n v="17.140655596321196"/>
  </r>
  <r>
    <s v="A45"/>
    <s v="LinkedIn"/>
    <d v="2025-09-17T00:00:00"/>
    <s v="Tweet"/>
    <x v="5"/>
    <s v="AppleLifestyle"/>
    <n v="15456"/>
    <n v="590"/>
    <n v="555"/>
    <n v="2882"/>
    <n v="49816"/>
    <n v="240422"/>
    <s v="Apple Event September 2025"/>
    <n v="6.9049421433978591"/>
  </r>
  <r>
    <s v="A46"/>
    <s v="LinkedIn"/>
    <s v="2025-05-02"/>
    <s v="Tweet"/>
    <x v="3"/>
    <s v="iPhone16"/>
    <n v="17444"/>
    <n v="1402"/>
    <n v="218"/>
    <n v="725"/>
    <n v="8710"/>
    <n v="85893"/>
    <s v="MacBook Air M3 Campaign"/>
    <n v="22.195056640238437"/>
  </r>
  <r>
    <s v="A47"/>
    <s v="LinkedIn"/>
    <s v="2025-02-24"/>
    <s v="Tweet"/>
    <x v="7"/>
    <s v="AppleEvent"/>
    <n v="24984"/>
    <n v="753"/>
    <n v="461"/>
    <n v="2710"/>
    <n v="20792"/>
    <n v="141520"/>
    <s v="Sustainability Awareness Drive"/>
    <n v="18.511871113623517"/>
  </r>
  <r>
    <s v="A48"/>
    <s v="YouTube"/>
    <s v="2025-03-11"/>
    <s v="Carousel"/>
    <x v="0"/>
    <s v="HealthTech"/>
    <n v="7997"/>
    <n v="1238"/>
    <n v="438"/>
    <n v="1874"/>
    <n v="36272"/>
    <n v="165818"/>
    <s v="MacBook Air M3 Campaign"/>
    <n v="5.8335042034037317"/>
  </r>
  <r>
    <s v="A49"/>
    <s v="Twitter"/>
    <d v="2025-09-18T00:00:00"/>
    <s v="Carousel"/>
    <x v="3"/>
    <s v="iPhone16"/>
    <n v="4048"/>
    <n v="677"/>
    <n v="911"/>
    <n v="2429"/>
    <n v="27361"/>
    <n v="101272"/>
    <s v="Apple Event September 2025"/>
    <n v="5.5652105221581483"/>
  </r>
  <r>
    <s v="A50"/>
    <s v="Twitter"/>
    <s v="2024-07-03"/>
    <s v="Tweet"/>
    <x v="5"/>
    <s v="AppleLifestyle"/>
    <n v="14338"/>
    <n v="1454"/>
    <n v="697"/>
    <n v="2703"/>
    <n v="21288"/>
    <n v="107649"/>
    <s v="iPhone 16 Launch"/>
    <n v="15.317374058282009"/>
  </r>
  <r>
    <s v="A51"/>
    <s v="YouTube"/>
    <s v="2024-06-13"/>
    <s v="Carousel"/>
    <x v="6"/>
    <s v="Health"/>
    <n v="23164"/>
    <n v="1122"/>
    <n v="900"/>
    <n v="888"/>
    <n v="36938"/>
    <n v="104674"/>
    <s v="Apple Watch Ultra 2 Launch"/>
    <n v="24.061371496264595"/>
  </r>
  <r>
    <s v="A52"/>
    <s v="Twitter"/>
    <d v="2025-09-19T00:00:00"/>
    <s v="Image"/>
    <x v="6"/>
    <s v="Health"/>
    <n v="19100"/>
    <n v="619"/>
    <n v="297"/>
    <n v="2312"/>
    <n v="9730"/>
    <n v="184832"/>
    <s v="Apple Event September 2025"/>
    <n v="10.829293628808864"/>
  </r>
  <r>
    <s v="A53"/>
    <s v="YouTube"/>
    <s v="2025-02-24"/>
    <s v="Image"/>
    <x v="3"/>
    <s v="iPhone16"/>
    <n v="23949"/>
    <n v="356"/>
    <n v="616"/>
    <n v="1847"/>
    <n v="3144"/>
    <n v="192999"/>
    <s v="iPhone 16 Launch"/>
    <n v="12.912502137316773"/>
  </r>
  <r>
    <s v="A54"/>
    <s v="LinkedIn"/>
    <s v="2025-03-13"/>
    <s v="Carousel"/>
    <x v="2"/>
    <s v="Innovation"/>
    <n v="6544"/>
    <n v="749"/>
    <n v="888"/>
    <n v="594"/>
    <n v="18171"/>
    <n v="126475"/>
    <s v="Sustainability Awareness Drive"/>
    <n v="6.4684720300454632"/>
  </r>
  <r>
    <s v="A55"/>
    <s v="YouTube"/>
    <s v="2024-06-17"/>
    <s v="Carousel"/>
    <x v="0"/>
    <s v="HealthTech"/>
    <n v="6976"/>
    <n v="1320"/>
    <n v="393"/>
    <n v="2285"/>
    <n v="14049"/>
    <n v="101367"/>
    <s v="MacBook Air M3 Campaign"/>
    <n v="8.5718231771681115"/>
  </r>
  <r>
    <s v="A56"/>
    <s v="LinkedIn"/>
    <s v="2024-12-18"/>
    <s v="Tweet"/>
    <x v="7"/>
    <s v="AppleEvent"/>
    <n v="14775"/>
    <n v="1220"/>
    <n v="640"/>
    <n v="1547"/>
    <n v="28527"/>
    <n v="183660"/>
    <s v="MacBook Air M3 Campaign"/>
    <n v="9.0574975498203205"/>
  </r>
  <r>
    <s v="A57"/>
    <s v="LinkedIn"/>
    <s v="2024-10-21"/>
    <s v="Video"/>
    <x v="3"/>
    <s v="iPhone16"/>
    <n v="12015"/>
    <n v="1196"/>
    <n v="998"/>
    <n v="1848"/>
    <n v="44739"/>
    <n v="161750"/>
    <s v="MacBook Air M3 Campaign"/>
    <n v="8.7845440494590417"/>
  </r>
  <r>
    <s v="A58"/>
    <s v="Instagram"/>
    <s v="2025-04-15"/>
    <s v="Carousel"/>
    <x v="2"/>
    <s v="Innovation"/>
    <n v="5419"/>
    <n v="1150"/>
    <n v="656"/>
    <n v="1990"/>
    <n v="410"/>
    <n v="158154"/>
    <s v="Sustainability Awareness Drive"/>
    <n v="4.5683321319726344"/>
  </r>
  <r>
    <s v="A59"/>
    <s v="YouTube"/>
    <s v="2024-06-22"/>
    <s v="Image"/>
    <x v="6"/>
    <s v="Health"/>
    <n v="16430"/>
    <n v="488"/>
    <n v="514"/>
    <n v="1436"/>
    <n v="30059"/>
    <n v="223305"/>
    <s v="iPhone 16 Launch"/>
    <n v="7.8063634938760877"/>
  </r>
  <r>
    <s v="A60"/>
    <s v="Instagram"/>
    <s v="2025-01-28"/>
    <s v="Tweet"/>
    <x v="6"/>
    <s v="Health"/>
    <n v="9239"/>
    <n v="1477"/>
    <n v="631"/>
    <n v="1556"/>
    <n v="11580"/>
    <n v="84738"/>
    <s v="Sustainability Awareness Drive"/>
    <n v="13.390686586891359"/>
  </r>
  <r>
    <s v="A61"/>
    <s v="YouTube"/>
    <s v="2024-09-05"/>
    <s v="Carousel"/>
    <x v="9"/>
    <m/>
    <n v="16489"/>
    <n v="395"/>
    <n v="350"/>
    <n v="2364"/>
    <n v="43239"/>
    <n v="73397"/>
    <s v="MacBook Air M3 Campaign"/>
    <n v="23.48052372712781"/>
  </r>
  <r>
    <s v="A62"/>
    <s v="YouTube"/>
    <d v="2025-09-20T00:00:00"/>
    <s v="Image"/>
    <x v="3"/>
    <s v="iPhone16"/>
    <n v="18633"/>
    <n v="797"/>
    <n v="303"/>
    <n v="659"/>
    <n v="7"/>
    <n v="122189"/>
    <s v="Apple Event September 2025"/>
    <n v="16.14957156536186"/>
  </r>
  <r>
    <s v="A63"/>
    <s v="Instagram"/>
    <s v="2024-07-31"/>
    <s v="Image"/>
    <x v="0"/>
    <s v="HealthTech"/>
    <n v="12357"/>
    <n v="716"/>
    <n v="599"/>
    <n v="999"/>
    <n v="89591"/>
    <n v="116367"/>
    <s v="Apple Watch Ultra 2 Launch"/>
    <n v="11.749035379446063"/>
  </r>
  <r>
    <s v="A64"/>
    <s v="Instagram"/>
    <s v="2024-08-17"/>
    <s v="Video"/>
    <x v="4"/>
    <m/>
    <n v="19154"/>
    <n v="1064"/>
    <n v="650"/>
    <n v="747"/>
    <n v="42667"/>
    <n v="242332"/>
    <s v="Sustainability Awareness Drive"/>
    <n v="8.6113266097750198"/>
  </r>
  <r>
    <s v="A65"/>
    <s v="YouTube"/>
    <s v="2025-03-28"/>
    <s v="Tweet"/>
    <x v="0"/>
    <s v="HealthTech"/>
    <n v="6363"/>
    <n v="1341"/>
    <n v="222"/>
    <n v="2712"/>
    <n v="19987"/>
    <n v="160585"/>
    <s v="Sustainability Awareness Drive"/>
    <n v="4.935703832861102"/>
  </r>
  <r>
    <s v="A66"/>
    <s v="Twitter"/>
    <s v="2024-07-26"/>
    <s v="Tweet"/>
    <x v="6"/>
    <s v="Health"/>
    <n v="12176"/>
    <n v="1005"/>
    <n v="862"/>
    <n v="974"/>
    <n v="2285"/>
    <n v="116619"/>
    <s v="iPhone 16 Launch"/>
    <n v="12.041777068916728"/>
  </r>
  <r>
    <s v="A67"/>
    <s v="LinkedIn"/>
    <s v="2025-03-29"/>
    <s v="Video"/>
    <x v="6"/>
    <s v="Health"/>
    <n v="19461"/>
    <n v="1382"/>
    <n v="445"/>
    <n v="1307"/>
    <n v="84691"/>
    <n v="151453"/>
    <s v="iPhone 16 Launch"/>
    <n v="14.055845707909384"/>
  </r>
  <r>
    <s v="A68"/>
    <s v="Instagram"/>
    <s v="2024-12-08"/>
    <s v="Video"/>
    <x v="1"/>
    <s v="AppleInnovation"/>
    <n v="10427"/>
    <n v="1014"/>
    <n v="166"/>
    <n v="1649"/>
    <n v="15145"/>
    <n v="59816"/>
    <s v="Sustainability Awareness Drive"/>
    <n v="19.404507155276178"/>
  </r>
  <r>
    <s v="A69"/>
    <s v="LinkedIn"/>
    <s v="2025-03-08"/>
    <s v="Tweet"/>
    <x v="6"/>
    <s v="Health"/>
    <n v="10580"/>
    <n v="427"/>
    <n v="790"/>
    <n v="2814"/>
    <n v="24916"/>
    <n v="213312"/>
    <s v="MacBook Air M3 Campaign"/>
    <n v="5.5303967896789681"/>
  </r>
  <r>
    <s v="A70"/>
    <s v="Twitter"/>
    <s v="2025-04-02"/>
    <s v="Tweet"/>
    <x v="7"/>
    <s v="AppleEvent"/>
    <n v="6858"/>
    <n v="415"/>
    <n v="366"/>
    <n v="2761"/>
    <n v="2988"/>
    <n v="177348"/>
    <s v="Apple Watch Ultra 2 Launch"/>
    <n v="4.3073505198818136"/>
  </r>
  <r>
    <s v="A71"/>
    <s v="Twitter"/>
    <s v="2024-09-02"/>
    <s v="Carousel"/>
    <x v="3"/>
    <s v="iPadPro"/>
    <n v="12040"/>
    <n v="1147"/>
    <n v="210"/>
    <n v="885"/>
    <n v="30360"/>
    <n v="119530"/>
    <s v="iPhone 16 Launch"/>
    <n v="11.20806492094035"/>
  </r>
  <r>
    <s v="A72"/>
    <s v="Twitter"/>
    <s v="2025-03-03"/>
    <s v="Carousel"/>
    <x v="3"/>
    <s v="iPhone16"/>
    <n v="24928"/>
    <n v="214"/>
    <n v="765"/>
    <n v="1556"/>
    <n v="5239"/>
    <n v="194571"/>
    <s v="MacBook Air M3 Campaign"/>
    <n v="13.314933880177415"/>
  </r>
  <r>
    <s v="A73"/>
    <s v="Instagram"/>
    <d v="2025-09-21T00:00:00"/>
    <s v="Video"/>
    <x v="0"/>
    <s v="HealthTech"/>
    <n v="23103"/>
    <n v="1380"/>
    <n v="191"/>
    <n v="1547"/>
    <n v="77798"/>
    <n v="148856"/>
    <s v="Apple Event September 2025"/>
    <n v="16.575751061428495"/>
  </r>
  <r>
    <s v="A74"/>
    <s v="Twitter"/>
    <s v="2024-10-28"/>
    <s v="Carousel"/>
    <x v="3"/>
    <s v="iPadPro"/>
    <n v="21198"/>
    <n v="1484"/>
    <n v="174"/>
    <n v="1293"/>
    <n v="16330"/>
    <n v="111635"/>
    <s v="iPhone 16 Launch"/>
    <n v="20.473865723115512"/>
  </r>
  <r>
    <s v="A75"/>
    <s v="Instagram"/>
    <s v="2024-08-01"/>
    <s v="Image"/>
    <x v="2"/>
    <s v="Innovation"/>
    <n v="21758"/>
    <n v="1380"/>
    <n v="188"/>
    <n v="1735"/>
    <n v="20998"/>
    <n v="147803"/>
    <s v="MacBook Air M3 Campaign"/>
    <n v="15.781817689762725"/>
  </r>
  <r>
    <s v="A76"/>
    <s v="Twitter"/>
    <s v="2024-11-07"/>
    <s v="Carousel"/>
    <x v="4"/>
    <m/>
    <n v="17254"/>
    <n v="246"/>
    <n v="952"/>
    <n v="871"/>
    <n v="14957"/>
    <n v="75946"/>
    <s v="MacBook Air M3 Campaign"/>
    <n v="24.296210465330631"/>
  </r>
  <r>
    <s v="A77"/>
    <s v="LinkedIn"/>
    <s v="2025-03-04"/>
    <s v="Carousel"/>
    <x v="7"/>
    <s v="AppleEvent"/>
    <n v="13470"/>
    <n v="523"/>
    <n v="280"/>
    <n v="2682"/>
    <n v="8538"/>
    <n v="95204"/>
    <s v="Apple Watch Ultra 2 Launch"/>
    <n v="14.992017142136884"/>
  </r>
  <r>
    <s v="A78"/>
    <s v="LinkedIn"/>
    <s v="2024-06-17"/>
    <s v="Image"/>
    <x v="5"/>
    <s v="AppleLifestyle"/>
    <n v="3252"/>
    <n v="1043"/>
    <n v="647"/>
    <n v="1545"/>
    <n v="18859"/>
    <n v="222958"/>
    <s v="Apple Watch Ultra 2 Launch"/>
    <n v="2.2165609666394568"/>
  </r>
  <r>
    <s v="A79"/>
    <s v="YouTube"/>
    <d v="2025-09-22T00:00:00"/>
    <s v="Video"/>
    <x v="10"/>
    <s v="AppleEarth"/>
    <n v="8996"/>
    <n v="329"/>
    <n v="378"/>
    <n v="2384"/>
    <n v="39404"/>
    <n v="242724"/>
    <s v="Apple Event September 2025"/>
    <n v="3.997544536181012"/>
  </r>
  <r>
    <s v="A80"/>
    <s v="LinkedIn"/>
    <s v="2024-06-13"/>
    <s v="Image"/>
    <x v="0"/>
    <s v="HealthTech"/>
    <n v="14173"/>
    <n v="294"/>
    <n v="257"/>
    <n v="1288"/>
    <n v="39466"/>
    <n v="55563"/>
    <s v="MacBook Air M3 Campaign"/>
    <n v="26.499649047027695"/>
  </r>
  <r>
    <s v="A81"/>
    <s v="YouTube"/>
    <s v="2024-10-19"/>
    <s v="Carousel"/>
    <x v="3"/>
    <s v="iPadPro"/>
    <n v="6673"/>
    <n v="826"/>
    <n v="321"/>
    <n v="577"/>
    <n v="19262"/>
    <n v="132324"/>
    <s v="MacBook Air M3 Campaign"/>
    <n v="5.9097367068710129"/>
  </r>
  <r>
    <s v="A82"/>
    <s v="LinkedIn"/>
    <s v="2024-07-24"/>
    <s v="Video"/>
    <x v="5"/>
    <s v="AppleLifestyle"/>
    <n v="22914"/>
    <n v="954"/>
    <n v="584"/>
    <n v="1519"/>
    <n v="13637"/>
    <n v="49847"/>
    <s v="Apple Watch Ultra 2 Launch"/>
    <n v="49.054105563022851"/>
  </r>
  <r>
    <s v="A83"/>
    <s v="Instagram"/>
    <s v="2024-10-15"/>
    <s v="Carousel"/>
    <x v="4"/>
    <m/>
    <n v="17781"/>
    <n v="993"/>
    <n v="627"/>
    <n v="2187"/>
    <n v="9609"/>
    <n v="66155"/>
    <s v="iPhone 16 Launch"/>
    <n v="29.326581513113144"/>
  </r>
  <r>
    <s v="A84"/>
    <s v="LinkedIn"/>
    <s v="2024-12-09"/>
    <s v="Image"/>
    <x v="1"/>
    <s v="AppleInnovation"/>
    <n v="15051"/>
    <n v="268"/>
    <n v="251"/>
    <n v="783"/>
    <n v="34154"/>
    <n v="119671"/>
    <s v="iPhone 16 Launch"/>
    <n v="13.010670922779955"/>
  </r>
  <r>
    <s v="A85"/>
    <s v="YouTube"/>
    <s v="2025-04-19"/>
    <s v="Image"/>
    <x v="5"/>
    <s v="AppleLifestyle"/>
    <n v="8881"/>
    <n v="210"/>
    <n v="673"/>
    <n v="1565"/>
    <n v="24847"/>
    <n v="156891"/>
    <s v="Sustainability Awareness Drive"/>
    <n v="6.2234290048505008"/>
  </r>
  <r>
    <s v="A86"/>
    <s v="YouTube"/>
    <s v="2025-01-27"/>
    <s v="Carousel"/>
    <x v="7"/>
    <s v="AppleEvent"/>
    <n v="8949"/>
    <n v="1477"/>
    <n v="424"/>
    <n v="1030"/>
    <n v="58052"/>
    <n v="123310"/>
    <s v="Apple Watch Ultra 2 Launch"/>
    <n v="8.798961965777309"/>
  </r>
  <r>
    <s v="A87"/>
    <s v="Twitter"/>
    <s v="2024-06-06"/>
    <s v="Tweet"/>
    <x v="7"/>
    <s v="AppleEvent"/>
    <n v="11521"/>
    <n v="1071"/>
    <n v="762"/>
    <n v="2539"/>
    <n v="12701"/>
    <n v="238350"/>
    <s v="Sustainability Awareness Drive"/>
    <n v="5.602685126914202"/>
  </r>
  <r>
    <s v="A88"/>
    <s v="Instagram"/>
    <s v="2024-07-07"/>
    <s v="Tweet"/>
    <x v="1"/>
    <s v="AppleInnovation"/>
    <n v="24625"/>
    <n v="749"/>
    <n v="193"/>
    <n v="1340"/>
    <n v="4890"/>
    <n v="189381"/>
    <s v="Apple Watch Ultra 2 Launch"/>
    <n v="13.500298340382615"/>
  </r>
  <r>
    <s v="A89"/>
    <s v="LinkedIn"/>
    <d v="2025-09-23T00:00:00"/>
    <s v="Image"/>
    <x v="10"/>
    <s v="AppleEarth"/>
    <n v="10017"/>
    <n v="1357"/>
    <n v="966"/>
    <n v="2871"/>
    <n v="14800"/>
    <n v="171691"/>
    <s v="Apple Event September 2025"/>
    <n v="7.1873307278774075"/>
  </r>
  <r>
    <s v="A90"/>
    <s v="Twitter"/>
    <s v="2024-06-03"/>
    <s v="Image"/>
    <x v="3"/>
    <s v="iPhone16"/>
    <n v="8941"/>
    <n v="911"/>
    <n v="166"/>
    <n v="1217"/>
    <n v="68817"/>
    <n v="221180"/>
    <s v="MacBook Air M3 Campaign"/>
    <n v="4.5293426168731354"/>
  </r>
  <r>
    <s v="A91"/>
    <s v="LinkedIn"/>
    <d v="2025-09-24T00:00:00"/>
    <s v="Tweet"/>
    <x v="5"/>
    <s v="AppleLifestyle"/>
    <n v="12209"/>
    <n v="222"/>
    <n v="479"/>
    <n v="2748"/>
    <n v="24615"/>
    <n v="74707"/>
    <s v="Apple Event September 2025"/>
    <n v="17.28084382989546"/>
  </r>
  <r>
    <s v="A92"/>
    <s v="LinkedIn"/>
    <s v="2024-10-21"/>
    <s v="Tweet"/>
    <x v="1"/>
    <s v="AppleInnovation"/>
    <n v="19715"/>
    <n v="1014"/>
    <n v="718"/>
    <n v="1185"/>
    <n v="37625"/>
    <n v="191409"/>
    <s v="Apple Watch Ultra 2 Launch"/>
    <n v="11.204802282024357"/>
  </r>
  <r>
    <s v="A93"/>
    <s v="Twitter"/>
    <s v="2024-12-11"/>
    <s v="Carousel"/>
    <x v="7"/>
    <s v="AppleEvent"/>
    <n v="22645"/>
    <n v="545"/>
    <n v="972"/>
    <n v="321"/>
    <n v="8396"/>
    <n v="121537"/>
    <s v="MacBook Air M3 Campaign"/>
    <n v="19.880365649966677"/>
  </r>
  <r>
    <s v="A94"/>
    <s v="Twitter"/>
    <s v="2024-11-07"/>
    <s v="Carousel"/>
    <x v="7"/>
    <s v="AppleEvent"/>
    <n v="11550"/>
    <n v="501"/>
    <n v="646"/>
    <n v="773"/>
    <n v="17841"/>
    <n v="237576"/>
    <s v="iPhone 16 Launch"/>
    <n v="5.3443950567397387"/>
  </r>
  <r>
    <s v="A95"/>
    <s v="Twitter"/>
    <s v="2024-11-08"/>
    <s v="Tweet"/>
    <x v="3"/>
    <s v="iPadPro"/>
    <n v="23499"/>
    <n v="562"/>
    <n v="964"/>
    <n v="2557"/>
    <n v="56890"/>
    <n v="218686"/>
    <s v="iPhone 16 Launch"/>
    <n v="11.443347996671026"/>
  </r>
  <r>
    <s v="A96"/>
    <s v="Twitter"/>
    <s v="2024-09-10"/>
    <s v="Carousel"/>
    <x v="6"/>
    <s v="Health"/>
    <n v="6637"/>
    <n v="595"/>
    <n v="161"/>
    <n v="2653"/>
    <n v="19334"/>
    <n v="131155"/>
    <s v="Sustainability Awareness Drive"/>
    <n v="5.6368419046166744"/>
  </r>
  <r>
    <s v="A97"/>
    <s v="Twitter"/>
    <s v="2024-08-13"/>
    <s v="Carousel"/>
    <x v="10"/>
    <s v="AppleEarth"/>
    <n v="6854"/>
    <n v="417"/>
    <n v="467"/>
    <n v="1003"/>
    <n v="61333"/>
    <n v="40281"/>
    <s v="Apple Watch Ultra 2 Launch"/>
    <n v="19.210049402944314"/>
  </r>
  <r>
    <s v="A98"/>
    <s v="LinkedIn"/>
    <s v="2024-06-10"/>
    <s v="Video"/>
    <x v="5"/>
    <s v="AppleLifestyle"/>
    <n v="21561"/>
    <n v="340"/>
    <n v="741"/>
    <n v="986"/>
    <n v="24826"/>
    <n v="198492"/>
    <s v="Apple Watch Ultra 2 Launch"/>
    <n v="11.40700884670415"/>
  </r>
  <r>
    <s v="A99"/>
    <s v="Twitter"/>
    <s v="2024-07-02"/>
    <s v="Carousel"/>
    <x v="5"/>
    <s v="AppleLifestyle"/>
    <n v="12320"/>
    <n v="1157"/>
    <n v="365"/>
    <n v="584"/>
    <n v="66634"/>
    <n v="210102"/>
    <s v="iPhone 16 Launch"/>
    <n v="6.5882285746922928"/>
  </r>
  <r>
    <s v="A100"/>
    <s v="Instagram"/>
    <d v="2025-09-25T00:00:00"/>
    <s v="Image"/>
    <x v="4"/>
    <m/>
    <n v="20564"/>
    <n v="1433"/>
    <n v="488"/>
    <n v="1015"/>
    <n v="24333"/>
    <n v="172130"/>
    <s v="Apple Event September 2025"/>
    <n v="13.062801371056759"/>
  </r>
  <r>
    <s v="A101"/>
    <s v="YouTube"/>
    <s v="2024-10-18"/>
    <s v="Carousel"/>
    <x v="1"/>
    <s v="AppleInnovation"/>
    <n v="6892"/>
    <n v="1184"/>
    <n v="925"/>
    <n v="1062"/>
    <n v="75008"/>
    <n v="116260"/>
    <s v="MacBook Air M3 Campaign"/>
    <n v="7.7421297092723202"/>
  </r>
  <r>
    <s v="A102"/>
    <s v="Twitter"/>
    <d v="2025-09-26T00:00:00"/>
    <s v="Carousel"/>
    <x v="4"/>
    <m/>
    <n v="9043"/>
    <n v="1192"/>
    <n v="810"/>
    <n v="1550"/>
    <n v="5221"/>
    <n v="199476"/>
    <s v="Apple Event September 2025"/>
    <n v="5.5370069582305641"/>
  </r>
  <r>
    <s v="A103"/>
    <s v="Twitter"/>
    <d v="2025-09-27T00:00:00"/>
    <s v="Tweet"/>
    <x v="1"/>
    <s v="AppleInnovation"/>
    <n v="18521"/>
    <n v="1027"/>
    <n v="230"/>
    <n v="1247"/>
    <n v="39588"/>
    <n v="200928"/>
    <s v="Apple Event September 2025"/>
    <n v="9.8433269628921813"/>
  </r>
  <r>
    <s v="A104"/>
    <s v="LinkedIn"/>
    <s v="2025-03-23"/>
    <s v="Image"/>
    <x v="2"/>
    <s v="Innovation"/>
    <n v="24711"/>
    <n v="882"/>
    <n v="876"/>
    <n v="2728"/>
    <n v="32015"/>
    <n v="180272"/>
    <s v="iPhone 16 Launch"/>
    <n v="14.68281263867933"/>
  </r>
  <r>
    <s v="A105"/>
    <s v="Twitter"/>
    <s v="2024-06-14"/>
    <s v="Carousel"/>
    <x v="7"/>
    <s v="AppleEvent"/>
    <n v="21856"/>
    <n v="1203"/>
    <n v="634"/>
    <n v="2807"/>
    <n v="3647"/>
    <n v="104178"/>
    <s v="iPhone 16 Launch"/>
    <n v="22.742805582752595"/>
  </r>
  <r>
    <s v="A106"/>
    <s v="Twitter"/>
    <s v="2025-02-04"/>
    <s v="Carousel"/>
    <x v="6"/>
    <s v="Health"/>
    <n v="23833"/>
    <n v="555"/>
    <n v="523"/>
    <n v="1330"/>
    <n v="69141"/>
    <n v="73997"/>
    <s v="iPhone 16 Launch"/>
    <n v="33.664878305877266"/>
  </r>
  <r>
    <s v="A107"/>
    <s v="Twitter"/>
    <s v="2024-06-21"/>
    <s v="Video"/>
    <x v="3"/>
    <s v="iPadPro"/>
    <n v="21216"/>
    <n v="1207"/>
    <n v="859"/>
    <n v="328"/>
    <n v="91296"/>
    <n v="196683"/>
    <s v="Sustainability Awareness Drive"/>
    <n v="11.837321985123269"/>
  </r>
  <r>
    <s v="A108"/>
    <s v="LinkedIn"/>
    <d v="2025-09-28T00:00:00"/>
    <s v="Carousel"/>
    <x v="6"/>
    <s v="Health"/>
    <n v="21963"/>
    <n v="1356"/>
    <n v="349"/>
    <n v="1206"/>
    <n v="51755"/>
    <n v="159273"/>
    <s v="Apple Event September 2025"/>
    <n v="14.860020216860359"/>
  </r>
  <r>
    <s v="A109"/>
    <s v="Twitter"/>
    <s v="2024-08-08"/>
    <s v="Carousel"/>
    <x v="6"/>
    <s v="Health"/>
    <n v="24355"/>
    <n v="1087"/>
    <n v="686"/>
    <n v="2426"/>
    <n v="24963"/>
    <n v="212307"/>
    <s v="Apple Watch Ultra 2 Launch"/>
    <n v="12.306706797232311"/>
  </r>
  <r>
    <s v="A110"/>
    <s v="YouTube"/>
    <s v="2024-07-29"/>
    <s v="Video"/>
    <x v="6"/>
    <s v="Health"/>
    <n v="6164"/>
    <n v="326"/>
    <n v="615"/>
    <n v="2806"/>
    <n v="38579"/>
    <n v="206129"/>
    <s v="MacBook Air M3 Campaign"/>
    <n v="3.4468706489625425"/>
  </r>
  <r>
    <s v="A111"/>
    <s v="LinkedIn"/>
    <s v="2024-11-23"/>
    <s v="Tweet"/>
    <x v="4"/>
    <m/>
    <n v="9941"/>
    <n v="1329"/>
    <n v="238"/>
    <n v="869"/>
    <n v="40281"/>
    <n v="172311"/>
    <s v="Sustainability Awareness Drive"/>
    <n v="6.67862179431377"/>
  </r>
  <r>
    <s v="A112"/>
    <s v="YouTube"/>
    <s v="2024-10-05"/>
    <s v="Carousel"/>
    <x v="1"/>
    <s v="AppleInnovation"/>
    <n v="16388"/>
    <n v="1208"/>
    <n v="417"/>
    <n v="2306"/>
    <n v="16865"/>
    <n v="236733"/>
    <s v="Apple Watch Ultra 2 Launch"/>
    <n v="7.608994098837087"/>
  </r>
  <r>
    <s v="A113"/>
    <s v="LinkedIn"/>
    <d v="2025-09-29T00:00:00"/>
    <s v="Video"/>
    <x v="8"/>
    <s v="ShotOniPhone"/>
    <n v="7569"/>
    <n v="803"/>
    <n v="804"/>
    <n v="1753"/>
    <n v="43582"/>
    <n v="166945"/>
    <s v="Apple Event September 2025"/>
    <n v="5.4964209769684631"/>
  </r>
  <r>
    <s v="A114"/>
    <s v="Twitter"/>
    <s v="2024-11-14"/>
    <s v="Image"/>
    <x v="2"/>
    <s v="Innovation"/>
    <n v="6300"/>
    <n v="1213"/>
    <n v="720"/>
    <n v="1037"/>
    <n v="39569"/>
    <n v="85272"/>
    <s v="iPhone 16 Launch"/>
    <n v="9.6549863964724647"/>
  </r>
  <r>
    <s v="A115"/>
    <s v="YouTube"/>
    <d v="2025-09-30T00:00:00"/>
    <s v="Tweet"/>
    <x v="0"/>
    <s v="HealthTech"/>
    <n v="8269"/>
    <n v="250"/>
    <n v="638"/>
    <n v="815"/>
    <n v="41991"/>
    <n v="129393"/>
    <s v="Apple Event September 2025"/>
    <n v="7.0768897853825177"/>
  </r>
  <r>
    <s v="A116"/>
    <s v="LinkedIn"/>
    <s v="2025-03-18"/>
    <s v="Image"/>
    <x v="6"/>
    <s v="Health"/>
    <n v="5818"/>
    <n v="1252"/>
    <n v="687"/>
    <n v="2300"/>
    <n v="25081"/>
    <n v="101212"/>
    <s v="MacBook Air M3 Campaign"/>
    <n v="7.6641109749832044"/>
  </r>
  <r>
    <s v="A117"/>
    <s v="Instagram"/>
    <s v="2024-11-04"/>
    <s v="Image"/>
    <x v="3"/>
    <s v="iPhone16"/>
    <n v="14015"/>
    <n v="978"/>
    <n v="196"/>
    <n v="2744"/>
    <n v="20190"/>
    <n v="186470"/>
    <s v="Sustainability Awareness Drive"/>
    <n v="8.1455462004611991"/>
  </r>
  <r>
    <s v="A118"/>
    <s v="Twitter"/>
    <s v="2024-11-04"/>
    <s v="Video"/>
    <x v="4"/>
    <m/>
    <n v="14234"/>
    <n v="1013"/>
    <n v="437"/>
    <n v="338"/>
    <n v="67754"/>
    <n v="160030"/>
    <s v="Sustainability Awareness Drive"/>
    <n v="9.8006623758045368"/>
  </r>
  <r>
    <s v="A119"/>
    <s v="LinkedIn"/>
    <s v="2025-02-07"/>
    <s v="Carousel"/>
    <x v="10"/>
    <s v="AppleEarth"/>
    <n v="20290"/>
    <n v="619"/>
    <n v="927"/>
    <n v="1186"/>
    <n v="8924"/>
    <n v="96503"/>
    <s v="MacBook Air M3 Campaign"/>
    <n v="22.627275835984374"/>
  </r>
  <r>
    <s v="A120"/>
    <s v="Instagram"/>
    <s v="2024-10-21"/>
    <s v="Video"/>
    <x v="3"/>
    <s v="iPadPro"/>
    <n v="8254"/>
    <n v="1405"/>
    <n v="165"/>
    <n v="2504"/>
    <n v="8081"/>
    <n v="177710"/>
    <s v="Apple Watch Ultra 2 Launch"/>
    <n v="5.5281075910190758"/>
  </r>
  <r>
    <s v="A121"/>
    <s v="LinkedIn"/>
    <s v="2024-07-29"/>
    <s v="Video"/>
    <x v="0"/>
    <s v="HealthTech"/>
    <n v="19144"/>
    <n v="1182"/>
    <n v="860"/>
    <n v="1398"/>
    <n v="4185"/>
    <n v="46570"/>
    <s v="Apple Watch Ultra 2 Launch"/>
    <n v="45.492806527807602"/>
  </r>
  <r>
    <s v="A122"/>
    <s v="Instagram"/>
    <s v="2024-10-02"/>
    <s v="Video"/>
    <x v="8"/>
    <s v="ShotOniPhone"/>
    <n v="9350"/>
    <n v="1024"/>
    <n v="550"/>
    <n v="2123"/>
    <n v="53916"/>
    <n v="108785"/>
    <s v="Sustainability Awareness Drive"/>
    <n v="10.041825619340901"/>
  </r>
  <r>
    <s v="A123"/>
    <s v="Twitter"/>
    <s v="2024-06-14"/>
    <s v="Video"/>
    <x v="3"/>
    <s v="iPhone16"/>
    <n v="17183"/>
    <n v="1224"/>
    <n v="943"/>
    <n v="2010"/>
    <n v="21481"/>
    <n v="49110"/>
    <s v="Sustainability Awareness Drive"/>
    <n v="39.401343921808184"/>
  </r>
  <r>
    <s v="A124"/>
    <s v="YouTube"/>
    <s v="2025-04-06"/>
    <s v="Tweet"/>
    <x v="8"/>
    <s v="ShotOniPhone"/>
    <n v="8238"/>
    <n v="766"/>
    <n v="235"/>
    <n v="1273"/>
    <n v="4706"/>
    <n v="119141"/>
    <s v="iPhone 16 Launch"/>
    <n v="7.7546772311798629"/>
  </r>
  <r>
    <s v="A125"/>
    <s v="Instagram"/>
    <s v="2024-09-08"/>
    <s v="Carousel"/>
    <x v="0"/>
    <s v="HealthTech"/>
    <n v="8090"/>
    <n v="570"/>
    <n v="399"/>
    <n v="1862"/>
    <n v="34088"/>
    <n v="52115"/>
    <s v="Apple Watch Ultra 2 Launch"/>
    <n v="17.382711311522595"/>
  </r>
  <r>
    <s v="A126"/>
    <s v="LinkedIn"/>
    <s v="2025-03-28"/>
    <s v="Image"/>
    <x v="6"/>
    <s v="Health"/>
    <n v="13637"/>
    <n v="1135"/>
    <n v="540"/>
    <n v="1288"/>
    <n v="45183"/>
    <n v="79062"/>
    <s v="MacBook Air M3 Campaign"/>
    <n v="19.367079001290126"/>
  </r>
  <r>
    <s v="A127"/>
    <s v="Twitter"/>
    <s v="2025-01-27"/>
    <s v="Image"/>
    <x v="3"/>
    <s v="iPhone16"/>
    <n v="24415"/>
    <n v="860"/>
    <n v="931"/>
    <n v="320"/>
    <n v="65049"/>
    <n v="62911"/>
    <s v="Apple Watch Ultra 2 Launch"/>
    <n v="41.655672298962024"/>
  </r>
  <r>
    <s v="A128"/>
    <s v="Instagram"/>
    <s v="2025-01-10"/>
    <s v="Carousel"/>
    <x v="8"/>
    <s v="ShotOniPhone"/>
    <n v="14647"/>
    <n v="1168"/>
    <n v="484"/>
    <n v="2650"/>
    <n v="27217"/>
    <n v="144061"/>
    <s v="iPhone 16 Launch"/>
    <n v="11.313957281984715"/>
  </r>
  <r>
    <s v="A129"/>
    <s v="LinkedIn"/>
    <s v="2024-07-21"/>
    <s v="Image"/>
    <x v="3"/>
    <s v="iPadPro"/>
    <n v="11911"/>
    <n v="1360"/>
    <n v="778"/>
    <n v="1168"/>
    <n v="16483"/>
    <n v="72556"/>
    <s v="Sustainability Awareness Drive"/>
    <n v="19.362974805667346"/>
  </r>
  <r>
    <s v="A130"/>
    <s v="LinkedIn"/>
    <s v="2024-09-29"/>
    <s v="Carousel"/>
    <x v="1"/>
    <s v="AppleInnovation"/>
    <n v="10472"/>
    <n v="401"/>
    <n v="668"/>
    <n v="383"/>
    <n v="37571"/>
    <n v="249203"/>
    <s v="Sustainability Awareness Drive"/>
    <n v="4.6311641513143904"/>
  </r>
  <r>
    <s v="A131"/>
    <s v="LinkedIn"/>
    <s v="2024-10-21"/>
    <s v="Image"/>
    <x v="7"/>
    <s v="AppleEvent"/>
    <n v="20271"/>
    <n v="512"/>
    <n v="286"/>
    <n v="1982"/>
    <n v="43225"/>
    <n v="168335"/>
    <s v="iPhone 16 Launch"/>
    <n v="12.516113701844537"/>
  </r>
  <r>
    <s v="A132"/>
    <s v="Instagram"/>
    <s v="2025-03-04"/>
    <s v="Video"/>
    <x v="1"/>
    <s v="AppleInnovation"/>
    <n v="5266"/>
    <n v="316"/>
    <n v="837"/>
    <n v="2276"/>
    <n v="20967"/>
    <n v="41969"/>
    <s v="MacBook Air M3 Campaign"/>
    <n v="15.294622221163239"/>
  </r>
  <r>
    <s v="A133"/>
    <s v="Instagram"/>
    <s v="2025-02-06"/>
    <s v="Image"/>
    <x v="0"/>
    <s v="HealthTech"/>
    <n v="2666"/>
    <n v="1136"/>
    <n v="989"/>
    <n v="1710"/>
    <n v="36467"/>
    <n v="83753"/>
    <s v="Sustainability Awareness Drive"/>
    <n v="5.72039210535742"/>
  </r>
  <r>
    <s v="A134"/>
    <s v="Instagram"/>
    <d v="2025-10-01T00:00:00"/>
    <s v="Carousel"/>
    <x v="4"/>
    <m/>
    <n v="6188"/>
    <n v="774"/>
    <n v="647"/>
    <n v="1830"/>
    <n v="55436"/>
    <n v="175542"/>
    <s v="Apple Event September 2025"/>
    <n v="4.3345752013763086"/>
  </r>
  <r>
    <s v="A135"/>
    <s v="YouTube"/>
    <s v="2024-11-28"/>
    <s v="Carousel"/>
    <x v="7"/>
    <s v="AppleEvent"/>
    <n v="19055"/>
    <n v="443"/>
    <n v="976"/>
    <n v="869"/>
    <n v="75437"/>
    <n v="161863"/>
    <s v="Sustainability Awareness Drive"/>
    <n v="12.648968572187592"/>
  </r>
  <r>
    <s v="A136"/>
    <s v="Instagram"/>
    <d v="2025-10-02T00:00:00"/>
    <s v="Carousel"/>
    <x v="2"/>
    <s v="Innovation"/>
    <n v="12161"/>
    <n v="736"/>
    <n v="876"/>
    <n v="1233"/>
    <n v="21337"/>
    <n v="50225"/>
    <s v="Apple Event September 2025"/>
    <n v="27.422598307615729"/>
  </r>
  <r>
    <s v="A137"/>
    <s v="Instagram"/>
    <s v="2024-07-31"/>
    <s v="Carousel"/>
    <x v="3"/>
    <s v="iPadPro"/>
    <n v="13314"/>
    <n v="274"/>
    <n v="626"/>
    <n v="2280"/>
    <n v="14639"/>
    <n v="163008"/>
    <s v="iPhone 16 Launch"/>
    <n v="8.7198174322732616"/>
  </r>
  <r>
    <s v="A138"/>
    <s v="Instagram"/>
    <s v="2025-03-29"/>
    <s v="Carousel"/>
    <x v="2"/>
    <s v="Innovation"/>
    <n v="23508"/>
    <n v="585"/>
    <n v="743"/>
    <n v="2155"/>
    <n v="3704"/>
    <n v="194268"/>
    <s v="iPhone 16 Launch"/>
    <n v="12.78440093067309"/>
  </r>
  <r>
    <s v="A139"/>
    <s v="YouTube"/>
    <s v="2024-10-29"/>
    <s v="Tweet"/>
    <x v="3"/>
    <s v="iPhone16"/>
    <n v="23969"/>
    <n v="1433"/>
    <n v="372"/>
    <n v="1092"/>
    <n v="32147"/>
    <n v="145823"/>
    <s v="Sustainability Awareness Drive"/>
    <n v="17.674852389540742"/>
  </r>
  <r>
    <s v="A140"/>
    <s v="Instagram"/>
    <s v="2024-07-15"/>
    <s v="Tweet"/>
    <x v="5"/>
    <s v="AppleLifestyle"/>
    <n v="14891"/>
    <n v="674"/>
    <n v="521"/>
    <n v="1091"/>
    <n v="18101"/>
    <n v="53669"/>
    <s v="Apple Watch Ultra 2 Launch"/>
    <n v="29.972609886526673"/>
  </r>
  <r>
    <s v="A141"/>
    <s v="LinkedIn"/>
    <d v="2025-10-03T00:00:00"/>
    <s v="Image"/>
    <x v="7"/>
    <s v="AppleEvent"/>
    <n v="6777"/>
    <n v="617"/>
    <n v="551"/>
    <n v="2109"/>
    <n v="18559"/>
    <n v="208452"/>
    <s v="Apple Event September 2025"/>
    <n v="3.8114290100358836"/>
  </r>
  <r>
    <s v="A142"/>
    <s v="Instagram"/>
    <s v="2025-03-25"/>
    <s v="Carousel"/>
    <x v="2"/>
    <s v="Innovation"/>
    <n v="5900"/>
    <n v="546"/>
    <n v="592"/>
    <n v="1594"/>
    <n v="38627"/>
    <n v="164398"/>
    <s v="MacBook Air M3 Campaign"/>
    <n v="4.2810739790021781"/>
  </r>
  <r>
    <s v="A143"/>
    <s v="LinkedIn"/>
    <s v="2024-10-02"/>
    <s v="Image"/>
    <x v="2"/>
    <s v="Innovation"/>
    <n v="15716"/>
    <n v="839"/>
    <n v="639"/>
    <n v="2839"/>
    <n v="349"/>
    <n v="150677"/>
    <s v="Sustainability Awareness Drive"/>
    <n v="11.411164278556116"/>
  </r>
  <r>
    <s v="A144"/>
    <s v="LinkedIn"/>
    <s v="2024-10-28"/>
    <s v="Carousel"/>
    <x v="8"/>
    <s v="ShotOniPhone"/>
    <n v="8981"/>
    <n v="1138"/>
    <n v="764"/>
    <n v="2555"/>
    <n v="92810"/>
    <n v="88320"/>
    <s v="MacBook Air M3 Campaign"/>
    <n v="12.32223731884058"/>
  </r>
  <r>
    <s v="A145"/>
    <s v="LinkedIn"/>
    <s v="2024-08-12"/>
    <s v="Carousel"/>
    <x v="1"/>
    <s v="AppleInnovation"/>
    <n v="8376"/>
    <n v="1154"/>
    <n v="422"/>
    <n v="1907"/>
    <n v="36874"/>
    <n v="218486"/>
    <s v="Sustainability Awareness Drive"/>
    <n v="4.5549829279679246"/>
  </r>
  <r>
    <s v="A146"/>
    <s v="YouTube"/>
    <s v="2024-06-05"/>
    <s v="Tweet"/>
    <x v="8"/>
    <s v="ShotOniPhone"/>
    <n v="18907"/>
    <n v="1075"/>
    <n v="675"/>
    <n v="1383"/>
    <n v="17875"/>
    <n v="186649"/>
    <s v="Apple Watch Ultra 2 Launch"/>
    <n v="11.067297440650634"/>
  </r>
  <r>
    <s v="A147"/>
    <s v="YouTube"/>
    <s v="2024-10-21"/>
    <s v="Tweet"/>
    <x v="7"/>
    <s v="AppleEvent"/>
    <n v="20777"/>
    <n v="962"/>
    <n v="308"/>
    <n v="2777"/>
    <n v="25529"/>
    <n v="165354"/>
    <s v="Apple Watch Ultra 2 Launch"/>
    <n v="13.333212380710476"/>
  </r>
  <r>
    <s v="A148"/>
    <s v="YouTube"/>
    <s v="2025-04-15"/>
    <s v="Video"/>
    <x v="7"/>
    <s v="AppleEvent"/>
    <n v="20977"/>
    <n v="1402"/>
    <n v="301"/>
    <n v="1284"/>
    <n v="24620"/>
    <n v="128009"/>
    <s v="Apple Watch Ultra 2 Launch"/>
    <n v="17.717504237983267"/>
  </r>
  <r>
    <s v="A149"/>
    <s v="Instagram"/>
    <s v="2024-06-16"/>
    <s v="Tweet"/>
    <x v="0"/>
    <s v="HealthTech"/>
    <n v="12160"/>
    <n v="1405"/>
    <n v="769"/>
    <n v="1980"/>
    <n v="33174"/>
    <n v="226481"/>
    <s v="Apple Watch Ultra 2 Launch"/>
    <n v="6.3290077313328714"/>
  </r>
  <r>
    <s v="A150"/>
    <s v="LinkedIn"/>
    <s v="2024-08-22"/>
    <s v="Video"/>
    <x v="8"/>
    <s v="ShotOniPhone"/>
    <n v="16124"/>
    <n v="863"/>
    <n v="337"/>
    <n v="819"/>
    <n v="85788"/>
    <n v="68625"/>
    <s v="iPhone 16 Launch"/>
    <n v="25.244444444444447"/>
  </r>
  <r>
    <s v="A151"/>
    <s v="YouTube"/>
    <s v="2024-07-26"/>
    <s v="Video"/>
    <x v="9"/>
    <m/>
    <n v="18282"/>
    <n v="224"/>
    <n v="962"/>
    <n v="890"/>
    <n v="35105"/>
    <n v="64089"/>
    <s v="iPhone 16 Launch"/>
    <n v="30.376507669022768"/>
  </r>
  <r>
    <s v="A152"/>
    <s v="YouTube"/>
    <d v="2025-10-04T00:00:00"/>
    <s v="Video"/>
    <x v="10"/>
    <s v="AppleEarth"/>
    <n v="12488"/>
    <n v="1403"/>
    <n v="247"/>
    <n v="1350"/>
    <n v="28370"/>
    <n v="76487"/>
    <s v="Apple Event September 2025"/>
    <n v="18.484186855282598"/>
  </r>
  <r>
    <s v="A153"/>
    <s v="Instagram"/>
    <s v="2025-01-01"/>
    <s v="Video"/>
    <x v="1"/>
    <s v="AppleInnovation"/>
    <n v="24574"/>
    <n v="909"/>
    <n v="280"/>
    <n v="2009"/>
    <n v="6221"/>
    <n v="236910"/>
    <s v="MacBook Air M3 Campaign"/>
    <n v="10.874593727575872"/>
  </r>
  <r>
    <s v="A154"/>
    <s v="YouTube"/>
    <s v="2024-10-09"/>
    <s v="Video"/>
    <x v="7"/>
    <s v="AppleEvent"/>
    <n v="7240"/>
    <n v="1384"/>
    <n v="954"/>
    <n v="2335"/>
    <n v="6757"/>
    <n v="150448"/>
    <s v="Sustainability Awareness Drive"/>
    <n v="6.366319259810699"/>
  </r>
  <r>
    <s v="A155"/>
    <s v="Instagram"/>
    <s v="2024-12-21"/>
    <s v="Image"/>
    <x v="0"/>
    <s v="HealthTech"/>
    <n v="12453"/>
    <n v="376"/>
    <n v="320"/>
    <n v="2546"/>
    <n v="22617"/>
    <n v="90138"/>
    <s v="Sustainability Awareness Drive"/>
    <n v="14.587632297144379"/>
  </r>
  <r>
    <s v="A156"/>
    <s v="Twitter"/>
    <s v="2024-10-22"/>
    <s v="Tweet"/>
    <x v="5"/>
    <s v="AppleLifestyle"/>
    <n v="12478"/>
    <n v="484"/>
    <n v="332"/>
    <n v="2734"/>
    <n v="43338"/>
    <n v="213895"/>
    <s v="iPhone 16 Launch"/>
    <n v="6.2151990462610156"/>
  </r>
  <r>
    <s v="A157"/>
    <s v="YouTube"/>
    <s v="2024-07-23"/>
    <s v="Video"/>
    <x v="8"/>
    <s v="ShotOniPhone"/>
    <n v="24877"/>
    <n v="262"/>
    <n v="513"/>
    <n v="648"/>
    <n v="47544"/>
    <n v="208280"/>
    <s v="Sustainability Awareness Drive"/>
    <n v="12.316112924908778"/>
  </r>
  <r>
    <s v="A158"/>
    <s v="Twitter"/>
    <s v="2024-08-11"/>
    <s v="Carousel"/>
    <x v="1"/>
    <s v="AppleInnovation"/>
    <n v="14394"/>
    <n v="1202"/>
    <n v="188"/>
    <n v="1259"/>
    <n v="21925"/>
    <n v="94061"/>
    <s v="iPhone 16 Launch"/>
    <n v="16.780599823518781"/>
  </r>
  <r>
    <s v="A159"/>
    <s v="Instagram"/>
    <d v="2025-10-05T00:00:00"/>
    <s v="Tweet"/>
    <x v="5"/>
    <s v="AppleLifestyle"/>
    <n v="21262"/>
    <n v="861"/>
    <n v="676"/>
    <n v="2263"/>
    <n v="12085"/>
    <n v="201731"/>
    <s v="Apple Event September 2025"/>
    <n v="11.301683925623726"/>
  </r>
  <r>
    <s v="A160"/>
    <s v="LinkedIn"/>
    <s v="2024-08-24"/>
    <s v="Tweet"/>
    <x v="8"/>
    <s v="ShotOniPhone"/>
    <n v="22527"/>
    <n v="865"/>
    <n v="646"/>
    <n v="992"/>
    <n v="18654"/>
    <n v="141376"/>
    <s v="MacBook Air M3 Campaign"/>
    <n v="17.002885921231325"/>
  </r>
  <r>
    <s v="A161"/>
    <s v="YouTube"/>
    <d v="2025-10-06T00:00:00"/>
    <s v="Video"/>
    <x v="2"/>
    <s v="Innovation"/>
    <n v="22028"/>
    <n v="355"/>
    <n v="665"/>
    <n v="1859"/>
    <n v="50565"/>
    <n v="202962"/>
    <s v="Apple Event September 2025"/>
    <n v="11.355820301337197"/>
  </r>
  <r>
    <s v="A162"/>
    <s v="Instagram"/>
    <s v="2025-04-01"/>
    <s v="Image"/>
    <x v="5"/>
    <s v="AppleLifestyle"/>
    <n v="6432"/>
    <n v="1272"/>
    <n v="498"/>
    <n v="677"/>
    <n v="47305"/>
    <n v="119134"/>
    <s v="Apple Watch Ultra 2 Launch"/>
    <n v="6.8846844729464296"/>
  </r>
  <r>
    <s v="A163"/>
    <s v="LinkedIn"/>
    <s v="2025-04-08"/>
    <s v="Video"/>
    <x v="0"/>
    <s v="HealthTech"/>
    <n v="15568"/>
    <n v="1166"/>
    <n v="546"/>
    <n v="826"/>
    <n v="21836"/>
    <n v="87055"/>
    <s v="Apple Watch Ultra 2 Launch"/>
    <n v="19.84952041812647"/>
  </r>
  <r>
    <s v="A164"/>
    <s v="LinkedIn"/>
    <s v="2025-02-27"/>
    <s v="Image"/>
    <x v="1"/>
    <s v="AppleInnovation"/>
    <n v="16178"/>
    <n v="1048"/>
    <n v="871"/>
    <n v="2553"/>
    <n v="39025"/>
    <n v="59508"/>
    <s v="Apple Watch Ultra 2 Launch"/>
    <n v="30.411037171472742"/>
  </r>
  <r>
    <s v="A165"/>
    <s v="Twitter"/>
    <d v="2025-10-07T00:00:00"/>
    <s v="Carousel"/>
    <x v="6"/>
    <s v="Health"/>
    <n v="19660"/>
    <n v="1307"/>
    <n v="310"/>
    <n v="2802"/>
    <n v="22171"/>
    <n v="213359"/>
    <s v="Apple Event September 2025"/>
    <n v="9.9723939463533284"/>
  </r>
  <r>
    <s v="A166"/>
    <s v="Instagram"/>
    <s v="2025-02-16"/>
    <s v="Tweet"/>
    <x v="3"/>
    <s v="iPhone16"/>
    <n v="24195"/>
    <n v="888"/>
    <n v="165"/>
    <n v="1559"/>
    <n v="11596"/>
    <n v="249988"/>
    <s v="Sustainability Awareness Drive"/>
    <n v="10.099684784869673"/>
  </r>
  <r>
    <s v="A167"/>
    <s v="LinkedIn"/>
    <s v="2024-11-28"/>
    <s v="Carousel"/>
    <x v="3"/>
    <s v="iPhone16"/>
    <n v="2302"/>
    <n v="347"/>
    <n v="642"/>
    <n v="2175"/>
    <n v="56378"/>
    <n v="198056"/>
    <s v="MacBook Air M3 Campaign"/>
    <n v="1.6616512501514722"/>
  </r>
  <r>
    <s v="A168"/>
    <s v="YouTube"/>
    <s v="2024-11-12"/>
    <s v="Image"/>
    <x v="1"/>
    <s v="AppleInnovation"/>
    <n v="19022"/>
    <n v="541"/>
    <n v="575"/>
    <n v="2063"/>
    <n v="42743"/>
    <n v="150169"/>
    <s v="Apple Watch Ultra 2 Launch"/>
    <n v="13.410224480418728"/>
  </r>
  <r>
    <s v="A169"/>
    <s v="YouTube"/>
    <s v="2024-12-03"/>
    <s v="Image"/>
    <x v="5"/>
    <s v="AppleLifestyle"/>
    <n v="2055"/>
    <n v="675"/>
    <n v="257"/>
    <n v="820"/>
    <n v="33534"/>
    <n v="48125"/>
    <s v="Apple Watch Ultra 2 Launch"/>
    <n v="6.2067532467532462"/>
  </r>
  <r>
    <s v="A170"/>
    <s v="Twitter"/>
    <s v="2025-04-28"/>
    <s v="Carousel"/>
    <x v="8"/>
    <s v="ShotOniPhone"/>
    <n v="15013"/>
    <n v="1286"/>
    <n v="599"/>
    <n v="2001"/>
    <n v="67839"/>
    <n v="76059"/>
    <s v="Apple Watch Ultra 2 Launch"/>
    <n v="22.216963147030594"/>
  </r>
  <r>
    <s v="A171"/>
    <s v="LinkedIn"/>
    <s v="2024-12-31"/>
    <s v="Image"/>
    <x v="0"/>
    <s v="HealthTech"/>
    <n v="10717"/>
    <n v="760"/>
    <n v="460"/>
    <n v="1316"/>
    <n v="18164"/>
    <n v="240641"/>
    <s v="MacBook Air M3 Campaign"/>
    <n v="4.9605013277039243"/>
  </r>
  <r>
    <s v="A172"/>
    <s v="Instagram"/>
    <s v="2024-08-14"/>
    <s v="Carousel"/>
    <x v="10"/>
    <s v="AppleEarth"/>
    <n v="10150"/>
    <n v="526"/>
    <n v="888"/>
    <n v="1313"/>
    <n v="51605"/>
    <n v="143409"/>
    <s v="Apple Watch Ultra 2 Launch"/>
    <n v="8.063650119588031"/>
  </r>
  <r>
    <s v="A173"/>
    <s v="YouTube"/>
    <s v="2024-12-05"/>
    <s v="Tweet"/>
    <x v="3"/>
    <s v="iPhone16"/>
    <n v="4125"/>
    <n v="1364"/>
    <n v="319"/>
    <n v="2848"/>
    <n v="15379"/>
    <n v="188159"/>
    <s v="MacBook Air M3 Campaign"/>
    <n v="3.0867510988047342"/>
  </r>
  <r>
    <s v="A174"/>
    <s v="LinkedIn"/>
    <s v="2024-06-22"/>
    <s v="Carousel"/>
    <x v="0"/>
    <s v="HealthTech"/>
    <n v="13479"/>
    <n v="1189"/>
    <n v="695"/>
    <n v="416"/>
    <n v="30229"/>
    <n v="45704"/>
    <s v="Apple Watch Ultra 2 Launch"/>
    <n v="33.61412567827761"/>
  </r>
  <r>
    <s v="A175"/>
    <s v="LinkedIn"/>
    <d v="2025-10-08T00:00:00"/>
    <s v="Tweet"/>
    <x v="3"/>
    <s v="iPhone16"/>
    <n v="17745"/>
    <n v="414"/>
    <n v="563"/>
    <n v="2733"/>
    <n v="995"/>
    <n v="231648"/>
    <s v="Apple Event September 2025"/>
    <n v="8.0820900676889078"/>
  </r>
  <r>
    <s v="A176"/>
    <s v="Twitter"/>
    <d v="2025-10-09T00:00:00"/>
    <s v="Carousel"/>
    <x v="2"/>
    <s v="Innovation"/>
    <n v="18748"/>
    <n v="634"/>
    <n v="400"/>
    <n v="1667"/>
    <n v="75813"/>
    <n v="244456"/>
    <s v="Apple Event September 2025"/>
    <n v="8.0922538207284749"/>
  </r>
  <r>
    <s v="A177"/>
    <s v="YouTube"/>
    <s v="2024-07-10"/>
    <s v="Image"/>
    <x v="8"/>
    <s v="ShotOniPhone"/>
    <n v="8809"/>
    <n v="1151"/>
    <n v="908"/>
    <n v="883"/>
    <n v="42921"/>
    <n v="151279"/>
    <s v="MacBook Air M3 Campaign"/>
    <n v="7.1840771025720684"/>
  </r>
  <r>
    <s v="A178"/>
    <s v="YouTube"/>
    <d v="2025-10-10T00:00:00"/>
    <s v="Carousel"/>
    <x v="2"/>
    <s v="Innovation"/>
    <n v="6621"/>
    <n v="922"/>
    <n v="930"/>
    <n v="694"/>
    <n v="839"/>
    <n v="243532"/>
    <s v="Apple Event September 2025"/>
    <n v="3.4792142305733949"/>
  </r>
  <r>
    <s v="A179"/>
    <s v="Instagram"/>
    <s v="2024-07-15"/>
    <s v="Image"/>
    <x v="3"/>
    <s v="iPhone16"/>
    <n v="17034"/>
    <n v="231"/>
    <n v="290"/>
    <n v="1387"/>
    <n v="63550"/>
    <n v="198280"/>
    <s v="MacBook Air M3 Campaign"/>
    <n v="8.8536413153116804"/>
  </r>
  <r>
    <s v="A180"/>
    <s v="YouTube"/>
    <d v="2025-10-11T00:00:00"/>
    <s v="Carousel"/>
    <x v="6"/>
    <s v="Health"/>
    <n v="15623"/>
    <n v="869"/>
    <n v="423"/>
    <n v="371"/>
    <n v="47579"/>
    <n v="158516"/>
    <s v="Apple Event September 2025"/>
    <n v="10.670847106916652"/>
  </r>
  <r>
    <s v="A181"/>
    <s v="Instagram"/>
    <d v="2025-10-12T00:00:00"/>
    <s v="Carousel"/>
    <x v="6"/>
    <s v="Health"/>
    <n v="7126"/>
    <n v="484"/>
    <n v="565"/>
    <n v="573"/>
    <n v="7389"/>
    <n v="237096"/>
    <s v="Apple Event September 2025"/>
    <n v="3.4479704423524646"/>
  </r>
  <r>
    <s v="A182"/>
    <s v="YouTube"/>
    <s v="2024-07-31"/>
    <s v="Video"/>
    <x v="2"/>
    <s v="Innovation"/>
    <n v="7122"/>
    <n v="628"/>
    <n v="757"/>
    <n v="2313"/>
    <n v="50924"/>
    <n v="210954"/>
    <s v="MacBook Air M3 Campaign"/>
    <n v="4.032632706656428"/>
  </r>
  <r>
    <s v="A183"/>
    <s v="Twitter"/>
    <s v="2024-12-17"/>
    <s v="Image"/>
    <x v="6"/>
    <s v="Health"/>
    <n v="20030"/>
    <n v="485"/>
    <n v="888"/>
    <n v="1643"/>
    <n v="4322"/>
    <n v="196995"/>
    <s v="Sustainability Awareness Drive"/>
    <n v="10.864742759968527"/>
  </r>
  <r>
    <s v="A184"/>
    <s v="YouTube"/>
    <d v="2025-10-13T00:00:00"/>
    <s v="Video"/>
    <x v="3"/>
    <s v="iPhone16"/>
    <n v="19302"/>
    <n v="1367"/>
    <n v="188"/>
    <n v="637"/>
    <n v="31404"/>
    <n v="154044"/>
    <s v="Apple Event September 2025"/>
    <n v="13.53963802549921"/>
  </r>
  <r>
    <s v="A185"/>
    <s v="Instagram"/>
    <s v="2025-01-11"/>
    <s v="Image"/>
    <x v="1"/>
    <s v="AppleInnovation"/>
    <n v="21181"/>
    <n v="1242"/>
    <n v="963"/>
    <n v="1689"/>
    <n v="49329"/>
    <n v="69165"/>
    <s v="Apple Watch Ultra 2 Launch"/>
    <n v="33.811899081905587"/>
  </r>
  <r>
    <s v="A186"/>
    <s v="Instagram"/>
    <s v="2024-08-24"/>
    <s v="Video"/>
    <x v="2"/>
    <s v="Innovation"/>
    <n v="24890"/>
    <n v="217"/>
    <n v="178"/>
    <n v="906"/>
    <n v="54826"/>
    <n v="107203"/>
    <s v="Sustainability Awareness Drive"/>
    <n v="23.586093672751694"/>
  </r>
  <r>
    <s v="A187"/>
    <s v="Twitter"/>
    <s v="2024-12-22"/>
    <s v="Tweet"/>
    <x v="10"/>
    <s v="AppleEarth"/>
    <n v="7870"/>
    <n v="968"/>
    <n v="626"/>
    <n v="465"/>
    <n v="27184"/>
    <n v="44114"/>
    <s v="MacBook Air M3 Campaign"/>
    <n v="21.453506823230718"/>
  </r>
  <r>
    <s v="A188"/>
    <s v="YouTube"/>
    <s v="2024-06-06"/>
    <s v="Carousel"/>
    <x v="10"/>
    <s v="AppleEarth"/>
    <n v="3531"/>
    <n v="789"/>
    <n v="467"/>
    <n v="1867"/>
    <n v="40816"/>
    <n v="236037"/>
    <s v="Sustainability Awareness Drive"/>
    <n v="2.0280718700881639"/>
  </r>
  <r>
    <s v="A189"/>
    <s v="YouTube"/>
    <s v="2025-03-24"/>
    <s v="Image"/>
    <x v="4"/>
    <m/>
    <n v="10172"/>
    <n v="1398"/>
    <n v="394"/>
    <n v="2358"/>
    <n v="59610"/>
    <n v="76321"/>
    <s v="iPhone 16 Launch"/>
    <n v="15.675895231980713"/>
  </r>
  <r>
    <s v="A190"/>
    <s v="Twitter"/>
    <s v="2024-10-04"/>
    <s v="Image"/>
    <x v="5"/>
    <s v="AppleLifestyle"/>
    <n v="21729"/>
    <n v="1209"/>
    <n v="897"/>
    <n v="1624"/>
    <n v="38771"/>
    <n v="113297"/>
    <s v="iPhone 16 Launch"/>
    <n v="21.037626768581692"/>
  </r>
  <r>
    <s v="A191"/>
    <s v="YouTube"/>
    <d v="2025-10-14T00:00:00"/>
    <s v="Carousel"/>
    <x v="8"/>
    <s v="ShotOniPhone"/>
    <n v="9673"/>
    <n v="393"/>
    <n v="846"/>
    <n v="1028"/>
    <n v="55556"/>
    <n v="136652"/>
    <s v="Apple Event September 2025"/>
    <n v="7.9852471972601942"/>
  </r>
  <r>
    <s v="A192"/>
    <s v="YouTube"/>
    <d v="2025-10-15T00:00:00"/>
    <s v="Image"/>
    <x v="6"/>
    <s v="Health"/>
    <n v="8882"/>
    <n v="701"/>
    <n v="421"/>
    <n v="2343"/>
    <n v="13588"/>
    <n v="139304"/>
    <s v="Apple Event September 2025"/>
    <n v="7.1814161833113195"/>
  </r>
  <r>
    <s v="A193"/>
    <s v="Instagram"/>
    <s v="2024-09-11"/>
    <s v="Image"/>
    <x v="6"/>
    <s v="Health"/>
    <n v="3906"/>
    <n v="1187"/>
    <n v="589"/>
    <n v="401"/>
    <n v="52687"/>
    <n v="196498"/>
    <s v="Apple Watch Ultra 2 Launch"/>
    <n v="2.8916324848090058"/>
  </r>
  <r>
    <s v="A194"/>
    <s v="YouTube"/>
    <s v="2024-10-02"/>
    <s v="Video"/>
    <x v="5"/>
    <s v="AppleLifestyle"/>
    <n v="5086"/>
    <n v="1336"/>
    <n v="897"/>
    <n v="1715"/>
    <n v="60592"/>
    <n v="57772"/>
    <s v="Sustainability Awareness Drive"/>
    <n v="12.668766876687668"/>
  </r>
  <r>
    <s v="A195"/>
    <s v="YouTube"/>
    <s v="2024-08-15"/>
    <s v="Image"/>
    <x v="7"/>
    <s v="AppleEvent"/>
    <n v="15503"/>
    <n v="313"/>
    <n v="388"/>
    <n v="1078"/>
    <n v="11500"/>
    <n v="143754"/>
    <s v="iPhone 16 Launch"/>
    <n v="11.27203416948398"/>
  </r>
  <r>
    <s v="A196"/>
    <s v="Twitter"/>
    <d v="2025-09-18T00:00:00"/>
    <s v="Tweet"/>
    <x v="9"/>
    <m/>
    <n v="10152"/>
    <n v="1445"/>
    <n v="526"/>
    <n v="513"/>
    <n v="18959"/>
    <n v="43712"/>
    <s v="Apple Event September 2025"/>
    <n v="27.733803074670572"/>
  </r>
  <r>
    <s v="A197"/>
    <s v="Twitter"/>
    <s v="2024-10-22"/>
    <s v="Tweet"/>
    <x v="2"/>
    <s v="Innovation"/>
    <n v="7750"/>
    <n v="1146"/>
    <n v="415"/>
    <n v="1411"/>
    <n v="85339"/>
    <n v="172439"/>
    <s v="Sustainability Awareness Drive"/>
    <n v="5.3995905798572243"/>
  </r>
  <r>
    <s v="A198"/>
    <s v="LinkedIn"/>
    <d v="2025-09-19T00:00:00"/>
    <s v="Carousel"/>
    <x v="3"/>
    <s v="iPadPro"/>
    <n v="14772"/>
    <n v="1030"/>
    <n v="508"/>
    <n v="1876"/>
    <n v="8882"/>
    <n v="155142"/>
    <s v="Apple Event September 2025"/>
    <n v="10.512949426976578"/>
  </r>
  <r>
    <s v="A199"/>
    <s v="Instagram"/>
    <d v="2025-09-20T00:00:00"/>
    <s v="Image"/>
    <x v="6"/>
    <s v="Health"/>
    <n v="12267"/>
    <n v="1487"/>
    <n v="489"/>
    <n v="2748"/>
    <n v="34685"/>
    <n v="131736"/>
    <s v="Apple Event September 2025"/>
    <n v="10.811775065282079"/>
  </r>
  <r>
    <s v="A200"/>
    <s v="YouTube"/>
    <s v="2025-04-07"/>
    <s v="Carousel"/>
    <x v="8"/>
    <s v="ShotOniPhone"/>
    <n v="3062"/>
    <n v="1124"/>
    <n v="538"/>
    <n v="2935"/>
    <n v="69749"/>
    <n v="91924"/>
    <s v="iPhone 16 Launch"/>
    <n v="5.1390278926069364"/>
  </r>
  <r>
    <s v="A201"/>
    <s v="YouTube"/>
    <s v="2025-01-15"/>
    <s v="Tweet"/>
    <x v="4"/>
    <m/>
    <n v="20360"/>
    <n v="254"/>
    <n v="726"/>
    <n v="1995"/>
    <n v="14280"/>
    <n v="43726"/>
    <s v="iPhone 16 Launch"/>
    <n v="48.803915290673736"/>
  </r>
  <r>
    <s v="A202"/>
    <s v="LinkedIn"/>
    <d v="2025-09-21T00:00:00"/>
    <s v="Image"/>
    <x v="10"/>
    <s v="AppleEarth"/>
    <n v="19680"/>
    <n v="999"/>
    <n v="838"/>
    <n v="891"/>
    <n v="29576"/>
    <n v="129152"/>
    <s v="Apple Event September 2025"/>
    <n v="16.660214321110008"/>
  </r>
  <r>
    <s v="A203"/>
    <s v="YouTube"/>
    <s v="2024-11-21"/>
    <s v="Image"/>
    <x v="6"/>
    <s v="Health"/>
    <n v="8229"/>
    <n v="977"/>
    <n v="152"/>
    <n v="1633"/>
    <n v="71447"/>
    <n v="67723"/>
    <s v="MacBook Air M3 Campaign"/>
    <n v="13.818052950991538"/>
  </r>
  <r>
    <s v="A204"/>
    <s v="Instagram"/>
    <d v="2025-09-22T00:00:00"/>
    <s v="Carousel"/>
    <x v="4"/>
    <m/>
    <n v="18509"/>
    <n v="361"/>
    <n v="578"/>
    <n v="1409"/>
    <n v="10569"/>
    <n v="166969"/>
    <s v="Apple Event September 2025"/>
    <n v="11.647671124580011"/>
  </r>
  <r>
    <s v="A205"/>
    <s v="LinkedIn"/>
    <d v="2025-09-23T00:00:00"/>
    <s v="Tweet"/>
    <x v="3"/>
    <s v="iPhone16"/>
    <n v="17147"/>
    <n v="286"/>
    <n v="291"/>
    <n v="2439"/>
    <n v="45631"/>
    <n v="140494"/>
    <s v="Apple Event September 2025"/>
    <n v="12.615485358805358"/>
  </r>
  <r>
    <s v="A206"/>
    <s v="Instagram"/>
    <s v="2024-06-24"/>
    <s v="Image"/>
    <x v="3"/>
    <s v="iPhone16"/>
    <n v="6632"/>
    <n v="254"/>
    <n v="525"/>
    <n v="1013"/>
    <n v="13838"/>
    <n v="180180"/>
    <s v="Apple Watch Ultra 2 Launch"/>
    <n v="4.1131091131091129"/>
  </r>
  <r>
    <s v="A207"/>
    <s v="LinkedIn"/>
    <s v="2024-12-29"/>
    <s v="Carousel"/>
    <x v="9"/>
    <m/>
    <n v="8288"/>
    <n v="1401"/>
    <n v="819"/>
    <n v="1235"/>
    <n v="33446"/>
    <n v="248786"/>
    <s v="Apple Watch Ultra 2 Launch"/>
    <n v="4.2237103373984066"/>
  </r>
  <r>
    <s v="A208"/>
    <s v="LinkedIn"/>
    <s v="2024-06-24"/>
    <s v="Tweet"/>
    <x v="1"/>
    <s v="AppleInnovation"/>
    <n v="5596"/>
    <n v="1231"/>
    <n v="473"/>
    <n v="2251"/>
    <n v="43705"/>
    <n v="75643"/>
    <s v="Apple Watch Ultra 2 Launch"/>
    <n v="9.6505955607260425"/>
  </r>
  <r>
    <s v="A209"/>
    <s v="Twitter"/>
    <s v="2025-03-19"/>
    <s v="Carousel"/>
    <x v="3"/>
    <s v="iPadPro"/>
    <n v="13475"/>
    <n v="1032"/>
    <n v="295"/>
    <n v="541"/>
    <n v="43666"/>
    <n v="202396"/>
    <s v="MacBook Air M3 Campaign"/>
    <n v="7.3133856400324122"/>
  </r>
  <r>
    <s v="A210"/>
    <s v="Instagram"/>
    <s v="2025-02-19"/>
    <s v="Video"/>
    <x v="7"/>
    <s v="AppleEvent"/>
    <n v="8168"/>
    <n v="512"/>
    <n v="442"/>
    <n v="2343"/>
    <n v="2753"/>
    <n v="143896"/>
    <s v="MacBook Air M3 Campaign"/>
    <n v="6.3393006059932171"/>
  </r>
  <r>
    <s v="A211"/>
    <s v="YouTube"/>
    <d v="2025-09-24T00:00:00"/>
    <s v="Image"/>
    <x v="9"/>
    <m/>
    <n v="11795"/>
    <n v="958"/>
    <n v="814"/>
    <n v="301"/>
    <n v="12564"/>
    <n v="179999"/>
    <s v="Apple Event September 2025"/>
    <n v="7.5372640959116444"/>
  </r>
  <r>
    <s v="A212"/>
    <s v="YouTube"/>
    <s v="2025-03-03"/>
    <s v="Video"/>
    <x v="0"/>
    <s v="HealthTech"/>
    <n v="9561"/>
    <n v="642"/>
    <n v="581"/>
    <n v="2572"/>
    <n v="38552"/>
    <n v="133680"/>
    <s v="Apple Watch Ultra 2 Launch"/>
    <n v="8.0670257330939563"/>
  </r>
  <r>
    <s v="A213"/>
    <s v="Instagram"/>
    <s v="2025-05-01"/>
    <s v="Tweet"/>
    <x v="7"/>
    <s v="AppleEvent"/>
    <n v="10258"/>
    <n v="527"/>
    <n v="854"/>
    <n v="2068"/>
    <n v="45632"/>
    <n v="136546"/>
    <s v="MacBook Air M3 Campaign"/>
    <n v="8.5238674146441493"/>
  </r>
  <r>
    <s v="A214"/>
    <s v="YouTube"/>
    <s v="2024-12-23"/>
    <s v="Video"/>
    <x v="2"/>
    <s v="Innovation"/>
    <n v="18616"/>
    <n v="1277"/>
    <n v="734"/>
    <n v="2249"/>
    <n v="3399"/>
    <n v="193515"/>
    <s v="iPhone 16 Launch"/>
    <n v="10.659122031883832"/>
  </r>
  <r>
    <s v="A215"/>
    <s v="YouTube"/>
    <d v="2025-09-25T00:00:00"/>
    <s v="Video"/>
    <x v="8"/>
    <s v="ShotOniPhone"/>
    <n v="8371"/>
    <n v="960"/>
    <n v="548"/>
    <n v="2936"/>
    <n v="82543"/>
    <n v="119973"/>
    <s v="Apple Event September 2025"/>
    <n v="8.2343527293641063"/>
  </r>
  <r>
    <s v="A216"/>
    <s v="Instagram"/>
    <s v="2024-07-29"/>
    <s v="Tweet"/>
    <x v="0"/>
    <s v="HealthTech"/>
    <n v="22590"/>
    <n v="1462"/>
    <n v="966"/>
    <n v="2463"/>
    <n v="29689"/>
    <n v="103449"/>
    <s v="Sustainability Awareness Drive"/>
    <n v="24.183897379385012"/>
  </r>
  <r>
    <s v="A217"/>
    <s v="LinkedIn"/>
    <d v="2025-09-26T00:00:00"/>
    <s v="Carousel"/>
    <x v="0"/>
    <s v="HealthTech"/>
    <n v="16369"/>
    <n v="1452"/>
    <n v="493"/>
    <n v="1217"/>
    <n v="91440"/>
    <n v="149834"/>
    <s v="Apple Event September 2025"/>
    <n v="12.222859965027965"/>
  </r>
  <r>
    <s v="A218"/>
    <s v="Instagram"/>
    <s v="2024-06-11"/>
    <s v="Video"/>
    <x v="9"/>
    <m/>
    <n v="14910"/>
    <n v="778"/>
    <n v="289"/>
    <n v="2541"/>
    <n v="14309"/>
    <n v="247815"/>
    <s v="Sustainability Awareness Drive"/>
    <n v="6.4471480741682292"/>
  </r>
  <r>
    <s v="A219"/>
    <s v="LinkedIn"/>
    <s v="2025-01-28"/>
    <s v="Carousel"/>
    <x v="5"/>
    <s v="AppleLifestyle"/>
    <n v="9943"/>
    <n v="1274"/>
    <n v="336"/>
    <n v="389"/>
    <n v="6145"/>
    <n v="231305"/>
    <s v="Apple Watch Ultra 2 Launch"/>
    <n v="4.994703962300858"/>
  </r>
  <r>
    <s v="A220"/>
    <s v="YouTube"/>
    <s v="2024-06-02"/>
    <s v="Video"/>
    <x v="1"/>
    <s v="AppleInnovation"/>
    <n v="14199"/>
    <n v="1206"/>
    <n v="954"/>
    <n v="2009"/>
    <n v="8"/>
    <n v="65537"/>
    <s v="Sustainability Awareness Drive"/>
    <n v="24.961472145505592"/>
  </r>
  <r>
    <s v="A221"/>
    <s v="YouTube"/>
    <s v="2025-03-23"/>
    <s v="Carousel"/>
    <x v="5"/>
    <s v="AppleLifestyle"/>
    <n v="17728"/>
    <n v="1487"/>
    <n v="210"/>
    <n v="2469"/>
    <n v="30565"/>
    <n v="117576"/>
    <s v="Apple Watch Ultra 2 Launch"/>
    <n v="16.521228822208613"/>
  </r>
  <r>
    <s v="A222"/>
    <s v="YouTube"/>
    <s v="2024-10-08"/>
    <s v="Tweet"/>
    <x v="9"/>
    <m/>
    <n v="8738"/>
    <n v="295"/>
    <n v="529"/>
    <n v="442"/>
    <n v="25286"/>
    <n v="147522"/>
    <s v="iPhone 16 Launch"/>
    <n v="6.4817450956467511"/>
  </r>
  <r>
    <s v="A223"/>
    <s v="Twitter"/>
    <s v="2024-11-12"/>
    <s v="Video"/>
    <x v="2"/>
    <s v="Innovation"/>
    <n v="17913"/>
    <n v="1311"/>
    <n v="859"/>
    <n v="405"/>
    <n v="59842"/>
    <n v="62612"/>
    <s v="Sustainability Awareness Drive"/>
    <n v="32.075321024723699"/>
  </r>
  <r>
    <s v="A224"/>
    <s v="LinkedIn"/>
    <d v="2025-09-07T00:00:00"/>
    <s v="Tweet"/>
    <x v="10"/>
    <s v="AppleEarth"/>
    <n v="4472"/>
    <n v="1301"/>
    <n v="956"/>
    <n v="1186"/>
    <n v="3363"/>
    <n v="46471"/>
    <s v="Apple Event September 2025"/>
    <n v="14.479998278496268"/>
  </r>
  <r>
    <s v="A225"/>
    <s v="Twitter"/>
    <s v="2024-06-20"/>
    <s v="Video"/>
    <x v="6"/>
    <s v="Health"/>
    <n v="21123"/>
    <n v="1343"/>
    <n v="589"/>
    <n v="727"/>
    <n v="87833"/>
    <n v="206703"/>
    <s v="Apple Watch Ultra 2 Launch"/>
    <n v="11.153684271636116"/>
  </r>
  <r>
    <s v="A226"/>
    <s v="Twitter"/>
    <d v="2025-09-08T00:00:00"/>
    <s v="Tweet"/>
    <x v="6"/>
    <s v="Health"/>
    <n v="23785"/>
    <n v="1013"/>
    <n v="468"/>
    <n v="1628"/>
    <n v="8272"/>
    <n v="71348"/>
    <s v="Apple Event September 2025"/>
    <n v="35.412345125301343"/>
  </r>
  <r>
    <s v="A227"/>
    <s v="Instagram"/>
    <s v="2024-06-12"/>
    <s v="Tweet"/>
    <x v="1"/>
    <s v="AppleInnovation"/>
    <n v="17679"/>
    <n v="690"/>
    <n v="451"/>
    <n v="2195"/>
    <n v="4390"/>
    <n v="235804"/>
    <s v="MacBook Air M3 Campaign"/>
    <n v="7.9812047293514956"/>
  </r>
  <r>
    <s v="A228"/>
    <s v="Twitter"/>
    <s v="2024-07-01"/>
    <s v="Video"/>
    <x v="2"/>
    <s v="Innovation"/>
    <n v="3761"/>
    <n v="651"/>
    <n v="493"/>
    <n v="2294"/>
    <n v="71696"/>
    <n v="41177"/>
    <s v="Apple Watch Ultra 2 Launch"/>
    <n v="11.911989702989532"/>
  </r>
  <r>
    <s v="A229"/>
    <s v="Instagram"/>
    <s v="2024-07-03"/>
    <s v="Video"/>
    <x v="1"/>
    <s v="AppleInnovation"/>
    <n v="12167"/>
    <n v="364"/>
    <n v="160"/>
    <n v="616"/>
    <n v="42228"/>
    <n v="175832"/>
    <s v="Sustainability Awareness Drive"/>
    <n v="7.217685063014696"/>
  </r>
  <r>
    <s v="A230"/>
    <s v="Instagram"/>
    <s v="2024-07-15"/>
    <s v="Video"/>
    <x v="4"/>
    <m/>
    <n v="12554"/>
    <n v="381"/>
    <n v="211"/>
    <n v="2286"/>
    <n v="50567"/>
    <n v="72779"/>
    <s v="Apple Watch Ultra 2 Launch"/>
    <n v="18.062902760411657"/>
  </r>
  <r>
    <s v="A231"/>
    <s v="Twitter"/>
    <d v="2025-09-09T00:00:00"/>
    <s v="Image"/>
    <x v="5"/>
    <s v="AppleLifestyle"/>
    <n v="19260"/>
    <n v="668"/>
    <n v="994"/>
    <n v="934"/>
    <n v="20509"/>
    <n v="61636"/>
    <s v="Apple Event September 2025"/>
    <n v="33.944448049841"/>
  </r>
  <r>
    <s v="A232"/>
    <s v="LinkedIn"/>
    <s v="2025-04-29"/>
    <s v="Carousel"/>
    <x v="6"/>
    <s v="Health"/>
    <n v="16277"/>
    <n v="1109"/>
    <n v="375"/>
    <n v="2225"/>
    <n v="1044"/>
    <n v="121889"/>
    <s v="iPhone 16 Launch"/>
    <n v="14.571454356012437"/>
  </r>
  <r>
    <s v="A233"/>
    <s v="LinkedIn"/>
    <s v="2025-03-08"/>
    <s v="Image"/>
    <x v="0"/>
    <s v="HealthTech"/>
    <n v="5812"/>
    <n v="934"/>
    <n v="302"/>
    <n v="2356"/>
    <n v="37437"/>
    <n v="93551"/>
    <s v="Apple Watch Ultra 2 Launch"/>
    <n v="7.5338585370546554"/>
  </r>
  <r>
    <s v="A234"/>
    <s v="LinkedIn"/>
    <s v="2024-06-01"/>
    <s v="Image"/>
    <x v="5"/>
    <s v="AppleLifestyle"/>
    <n v="19844"/>
    <n v="1022"/>
    <n v="860"/>
    <n v="2570"/>
    <n v="23719"/>
    <n v="182628"/>
    <s v="Sustainability Awareness Drive"/>
    <n v="11.896313818253498"/>
  </r>
  <r>
    <s v="A235"/>
    <s v="LinkedIn"/>
    <s v="2024-12-22"/>
    <s v="Tweet"/>
    <x v="3"/>
    <s v="iPadPro"/>
    <n v="20117"/>
    <n v="1143"/>
    <n v="713"/>
    <n v="1739"/>
    <n v="34444"/>
    <n v="198670"/>
    <s v="MacBook Air M3 Campaign"/>
    <n v="11.060049328031409"/>
  </r>
  <r>
    <s v="A236"/>
    <s v="LinkedIn"/>
    <s v="2024-08-19"/>
    <s v="Video"/>
    <x v="8"/>
    <s v="ShotOniPhone"/>
    <n v="3605"/>
    <n v="206"/>
    <n v="921"/>
    <n v="852"/>
    <n v="11660"/>
    <n v="182635"/>
    <s v="iPhone 16 Launch"/>
    <n v="2.590960111698196"/>
  </r>
  <r>
    <s v="A237"/>
    <s v="Twitter"/>
    <s v="2024-10-22"/>
    <s v="Carousel"/>
    <x v="2"/>
    <s v="Innovation"/>
    <n v="7622"/>
    <n v="529"/>
    <n v="720"/>
    <n v="1015"/>
    <n v="71322"/>
    <n v="86819"/>
    <s v="MacBook Air M3 Campaign"/>
    <n v="10.217809465669957"/>
  </r>
  <r>
    <s v="A238"/>
    <s v="Twitter"/>
    <s v="2024-07-16"/>
    <s v="Tweet"/>
    <x v="7"/>
    <s v="AppleEvent"/>
    <n v="8767"/>
    <n v="974"/>
    <n v="733"/>
    <n v="1587"/>
    <n v="74927"/>
    <n v="113770"/>
    <s v="Apple Watch Ultra 2 Launch"/>
    <n v="9.2062933989628206"/>
  </r>
  <r>
    <s v="A239"/>
    <s v="YouTube"/>
    <d v="2025-09-10T00:00:00"/>
    <s v="Image"/>
    <x v="1"/>
    <s v="AppleInnovation"/>
    <n v="13613"/>
    <n v="350"/>
    <n v="809"/>
    <n v="2013"/>
    <n v="20471"/>
    <n v="198038"/>
    <s v="Apple Event September 2025"/>
    <n v="7.4591745018632789"/>
  </r>
  <r>
    <s v="A240"/>
    <s v="LinkedIn"/>
    <d v="2025-09-11T00:00:00"/>
    <s v="Video"/>
    <x v="5"/>
    <s v="AppleLifestyle"/>
    <n v="21901"/>
    <n v="1308"/>
    <n v="724"/>
    <n v="2183"/>
    <n v="15996"/>
    <n v="230961"/>
    <s v="Apple Event September 2025"/>
    <n v="10.362355549205276"/>
  </r>
  <r>
    <s v="A241"/>
    <s v="Twitter"/>
    <s v="2025-01-18"/>
    <s v="Tweet"/>
    <x v="8"/>
    <s v="ShotOniPhone"/>
    <n v="12589"/>
    <n v="346"/>
    <n v="459"/>
    <n v="1407"/>
    <n v="29254"/>
    <n v="198059"/>
    <s v="Sustainability Awareness Drive"/>
    <n v="6.7626313371268161"/>
  </r>
  <r>
    <s v="A242"/>
    <s v="YouTube"/>
    <d v="2025-09-12T00:00:00"/>
    <s v="Video"/>
    <x v="5"/>
    <s v="AppleLifestyle"/>
    <n v="15918"/>
    <n v="1114"/>
    <n v="392"/>
    <n v="1641"/>
    <n v="28044"/>
    <n v="118714"/>
    <s v="Apple Event September 2025"/>
    <n v="14.677291642097815"/>
  </r>
  <r>
    <s v="A243"/>
    <s v="LinkedIn"/>
    <s v="2025-03-06"/>
    <s v="Tweet"/>
    <x v="7"/>
    <s v="AppleEvent"/>
    <n v="22119"/>
    <n v="899"/>
    <n v="642"/>
    <n v="410"/>
    <n v="49490"/>
    <n v="229420"/>
    <s v="iPhone 16 Launch"/>
    <n v="10.312963124400662"/>
  </r>
  <r>
    <s v="A244"/>
    <s v="Instagram"/>
    <d v="2025-09-13T00:00:00"/>
    <s v="Video"/>
    <x v="8"/>
    <s v="ShotOniPhone"/>
    <n v="15046"/>
    <n v="281"/>
    <n v="515"/>
    <n v="550"/>
    <n v="22583"/>
    <n v="64596"/>
    <s v="Apple Event September 2025"/>
    <n v="24.524738373893122"/>
  </r>
  <r>
    <s v="A245"/>
    <s v="YouTube"/>
    <s v="2025-01-12"/>
    <s v="Image"/>
    <x v="3"/>
    <s v="iPadPro"/>
    <n v="4590"/>
    <n v="713"/>
    <n v="479"/>
    <n v="2730"/>
    <n v="41050"/>
    <n v="204246"/>
    <s v="Sustainability Awareness Drive"/>
    <n v="2.8308999931455205"/>
  </r>
  <r>
    <s v="A246"/>
    <s v="Twitter"/>
    <s v="2024-10-11"/>
    <s v="Carousel"/>
    <x v="7"/>
    <s v="AppleEvent"/>
    <n v="19447"/>
    <n v="1014"/>
    <n v="256"/>
    <n v="2354"/>
    <n v="5472"/>
    <n v="104106"/>
    <s v="Apple Watch Ultra 2 Launch"/>
    <n v="19.899909707413599"/>
  </r>
  <r>
    <s v="A247"/>
    <s v="Instagram"/>
    <s v="2024-08-27"/>
    <s v="Image"/>
    <x v="9"/>
    <m/>
    <n v="6324"/>
    <n v="908"/>
    <n v="375"/>
    <n v="758"/>
    <n v="34850"/>
    <n v="241039"/>
    <s v="Apple Watch Ultra 2 Launch"/>
    <n v="3.1559208260903837"/>
  </r>
  <r>
    <s v="A248"/>
    <s v="Instagram"/>
    <d v="2025-09-14T00:00:00"/>
    <s v="Carousel"/>
    <x v="3"/>
    <s v="iPhone16"/>
    <n v="12787"/>
    <n v="945"/>
    <n v="974"/>
    <n v="1407"/>
    <n v="4037"/>
    <n v="99182"/>
    <s v="Apple Event September 2025"/>
    <n v="14.827287209372669"/>
  </r>
  <r>
    <s v="A249"/>
    <s v="Instagram"/>
    <s v="2024-07-18"/>
    <s v="Video"/>
    <x v="9"/>
    <m/>
    <n v="11111"/>
    <n v="1222"/>
    <n v="367"/>
    <n v="507"/>
    <n v="14129"/>
    <n v="127163"/>
    <s v="MacBook Air M3 Campaign"/>
    <n v="9.9871818060284827"/>
  </r>
  <r>
    <s v="A250"/>
    <s v="YouTube"/>
    <s v="2024-06-22"/>
    <s v="Tweet"/>
    <x v="6"/>
    <s v="Health"/>
    <n v="7342"/>
    <n v="906"/>
    <n v="902"/>
    <n v="1199"/>
    <n v="68488"/>
    <n v="79310"/>
    <s v="Apple Watch Ultra 2 Launch"/>
    <n v="11.537006682637751"/>
  </r>
  <r>
    <s v="A251"/>
    <s v="Twitter"/>
    <d v="2025-09-15T00:00:00"/>
    <s v="Image"/>
    <x v="5"/>
    <s v="AppleLifestyle"/>
    <n v="18389"/>
    <n v="670"/>
    <n v="655"/>
    <n v="321"/>
    <n v="21869"/>
    <n v="96088"/>
    <s v="Apple Event September 2025"/>
    <n v="20.516609774373489"/>
  </r>
  <r>
    <s v="A252"/>
    <s v="Instagram"/>
    <s v="2025-04-28"/>
    <s v="Carousel"/>
    <x v="3"/>
    <s v="iPhone16"/>
    <n v="10659"/>
    <n v="1342"/>
    <n v="408"/>
    <n v="709"/>
    <n v="16309"/>
    <n v="168803"/>
    <s v="Sustainability Awareness Drive"/>
    <n v="7.3511726687321906"/>
  </r>
  <r>
    <s v="A253"/>
    <s v="LinkedIn"/>
    <d v="2025-09-16T00:00:00"/>
    <s v="Image"/>
    <x v="9"/>
    <m/>
    <n v="16043"/>
    <n v="595"/>
    <n v="923"/>
    <n v="1194"/>
    <n v="52613"/>
    <n v="179978"/>
    <s v="Apple Event September 2025"/>
    <n v="9.7573036704486107"/>
  </r>
  <r>
    <s v="A254"/>
    <s v="Instagram"/>
    <s v="2025-01-14"/>
    <s v="Carousel"/>
    <x v="3"/>
    <s v="iPhone16"/>
    <n v="24350"/>
    <n v="460"/>
    <n v="666"/>
    <n v="814"/>
    <n v="21120"/>
    <n v="76914"/>
    <s v="Apple Watch Ultra 2 Launch"/>
    <n v="33.12270847960059"/>
  </r>
  <r>
    <s v="A255"/>
    <s v="Instagram"/>
    <s v="2025-04-03"/>
    <s v="Image"/>
    <x v="10"/>
    <s v="AppleEarth"/>
    <n v="10837"/>
    <n v="1004"/>
    <n v="922"/>
    <n v="1108"/>
    <n v="36807"/>
    <n v="150350"/>
    <s v="Sustainability Awareness Drive"/>
    <n v="8.4888593282341205"/>
  </r>
  <r>
    <s v="A256"/>
    <s v="YouTube"/>
    <d v="2025-09-17T00:00:00"/>
    <s v="Carousel"/>
    <x v="5"/>
    <s v="AppleLifestyle"/>
    <n v="2117"/>
    <n v="1133"/>
    <n v="203"/>
    <n v="1173"/>
    <n v="40125"/>
    <n v="85379"/>
    <s v="Apple Event September 2025"/>
    <n v="4.0443200318579509"/>
  </r>
  <r>
    <s v="A257"/>
    <s v="YouTube"/>
    <s v="2025-04-06"/>
    <s v="Carousel"/>
    <x v="3"/>
    <s v="iPhone16"/>
    <n v="15917"/>
    <n v="1479"/>
    <n v="196"/>
    <n v="313"/>
    <n v="48524"/>
    <n v="249684"/>
    <s v="iPhone 16 Launch"/>
    <n v="7.0457057720959293"/>
  </r>
  <r>
    <s v="A258"/>
    <s v="Twitter"/>
    <s v="2024-08-05"/>
    <s v="Video"/>
    <x v="0"/>
    <s v="HealthTech"/>
    <n v="20935"/>
    <n v="1104"/>
    <n v="876"/>
    <n v="1270"/>
    <n v="21454"/>
    <n v="208722"/>
    <s v="Sustainability Awareness Drive"/>
    <n v="10.978718103506099"/>
  </r>
  <r>
    <s v="A259"/>
    <s v="LinkedIn"/>
    <s v="2025-02-10"/>
    <s v="Carousel"/>
    <x v="1"/>
    <s v="AppleInnovation"/>
    <n v="16309"/>
    <n v="1449"/>
    <n v="838"/>
    <n v="2434"/>
    <n v="2940"/>
    <n v="217953"/>
    <s v="iPhone 16 Launch"/>
    <n v="8.532114721981344"/>
  </r>
  <r>
    <s v="A260"/>
    <s v="YouTube"/>
    <s v="2025-02-12"/>
    <s v="Video"/>
    <x v="1"/>
    <s v="AppleInnovation"/>
    <n v="15234"/>
    <n v="1276"/>
    <n v="670"/>
    <n v="1860"/>
    <n v="60397"/>
    <n v="86413"/>
    <s v="MacBook Air M3 Campaign"/>
    <n v="19.881267864788864"/>
  </r>
  <r>
    <s v="A261"/>
    <s v="Instagram"/>
    <s v="2024-10-27"/>
    <s v="Carousel"/>
    <x v="0"/>
    <s v="HealthTech"/>
    <n v="7560"/>
    <n v="1139"/>
    <n v="248"/>
    <n v="1624"/>
    <n v="72237"/>
    <n v="177084"/>
    <s v="Sustainability Awareness Drive"/>
    <n v="5.0524045085947913"/>
  </r>
  <r>
    <s v="A262"/>
    <s v="Twitter"/>
    <s v="2025-01-18"/>
    <s v="Tweet"/>
    <x v="8"/>
    <s v="ShotOniPhone"/>
    <n v="22673"/>
    <n v="1053"/>
    <n v="169"/>
    <n v="1566"/>
    <n v="9417"/>
    <n v="221187"/>
    <s v="iPhone 16 Launch"/>
    <n v="10.803076130152315"/>
  </r>
  <r>
    <s v="A263"/>
    <s v="Instagram"/>
    <s v="2024-08-20"/>
    <s v="Tweet"/>
    <x v="4"/>
    <m/>
    <n v="2846"/>
    <n v="792"/>
    <n v="902"/>
    <n v="2469"/>
    <n v="12130"/>
    <n v="47151"/>
    <s v="Apple Watch Ultra 2 Launch"/>
    <n v="9.628639901592754"/>
  </r>
  <r>
    <s v="A264"/>
    <s v="Instagram"/>
    <s v="2025-01-30"/>
    <s v="Tweet"/>
    <x v="8"/>
    <s v="ShotOniPhone"/>
    <n v="12954"/>
    <n v="913"/>
    <n v="722"/>
    <n v="1049"/>
    <n v="475"/>
    <n v="97716"/>
    <s v="Apple Watch Ultra 2 Launch"/>
    <n v="14.930001228048631"/>
  </r>
  <r>
    <s v="A265"/>
    <s v="YouTube"/>
    <s v="2025-02-20"/>
    <s v="Carousel"/>
    <x v="7"/>
    <s v="AppleEvent"/>
    <n v="15703"/>
    <n v="1381"/>
    <n v="639"/>
    <n v="984"/>
    <n v="10967"/>
    <n v="133747"/>
    <s v="MacBook Air M3 Campaign"/>
    <n v="13.251138343289941"/>
  </r>
  <r>
    <s v="A266"/>
    <s v="Twitter"/>
    <s v="2024-11-25"/>
    <s v="Video"/>
    <x v="7"/>
    <s v="AppleEvent"/>
    <n v="17385"/>
    <n v="831"/>
    <n v="568"/>
    <n v="2227"/>
    <n v="49351"/>
    <n v="207450"/>
    <s v="Sustainability Awareness Drive"/>
    <n v="9.0547119787900705"/>
  </r>
  <r>
    <s v="A267"/>
    <s v="LinkedIn"/>
    <s v="2024-10-04"/>
    <s v="Video"/>
    <x v="3"/>
    <s v="iPhone16"/>
    <n v="15746"/>
    <n v="258"/>
    <n v="839"/>
    <n v="2656"/>
    <n v="66614"/>
    <n v="213724"/>
    <s v="Sustainability Awareness Drive"/>
    <n v="7.8807246729426739"/>
  </r>
  <r>
    <s v="A268"/>
    <s v="LinkedIn"/>
    <s v="2025-04-13"/>
    <s v="Carousel"/>
    <x v="9"/>
    <m/>
    <n v="24700"/>
    <n v="327"/>
    <n v="999"/>
    <n v="994"/>
    <n v="59400"/>
    <n v="243502"/>
    <s v="Sustainability Awareness Drive"/>
    <n v="10.688207899729777"/>
  </r>
  <r>
    <s v="A269"/>
    <s v="YouTube"/>
    <s v="2024-11-05"/>
    <s v="Tweet"/>
    <x v="9"/>
    <m/>
    <n v="8469"/>
    <n v="935"/>
    <n v="211"/>
    <n v="2635"/>
    <n v="21890"/>
    <n v="184539"/>
    <s v="MacBook Air M3 Campaign"/>
    <n v="5.2102807536618281"/>
  </r>
  <r>
    <s v="A270"/>
    <s v="YouTube"/>
    <s v="2025-01-15"/>
    <s v="Tweet"/>
    <x v="1"/>
    <s v="AppleInnovation"/>
    <n v="11333"/>
    <n v="920"/>
    <n v="294"/>
    <n v="606"/>
    <n v="59490"/>
    <n v="202082"/>
    <s v="Sustainability Awareness Drive"/>
    <n v="6.2088657079799292"/>
  </r>
  <r>
    <s v="A271"/>
    <s v="Twitter"/>
    <s v="2024-10-17"/>
    <s v="Video"/>
    <x v="2"/>
    <s v="Innovation"/>
    <n v="18608"/>
    <n v="1338"/>
    <n v="365"/>
    <n v="2289"/>
    <n v="20785"/>
    <n v="161999"/>
    <s v="Apple Watch Ultra 2 Launch"/>
    <n v="12.537731714393299"/>
  </r>
  <r>
    <s v="A272"/>
    <s v="LinkedIn"/>
    <s v="2025-03-27"/>
    <s v="Tweet"/>
    <x v="8"/>
    <s v="ShotOniPhone"/>
    <n v="14819"/>
    <n v="1432"/>
    <n v="152"/>
    <n v="961"/>
    <n v="39154"/>
    <n v="154793"/>
    <s v="iPhone 16 Launch"/>
    <n v="10.596732410380314"/>
  </r>
  <r>
    <s v="A273"/>
    <s v="LinkedIn"/>
    <s v="2024-10-12"/>
    <s v="Image"/>
    <x v="10"/>
    <s v="AppleEarth"/>
    <n v="6208"/>
    <n v="725"/>
    <n v="309"/>
    <n v="848"/>
    <n v="39319"/>
    <n v="225763"/>
    <s v="Apple Watch Ultra 2 Launch"/>
    <n v="3.207788698768177"/>
  </r>
  <r>
    <s v="A274"/>
    <s v="LinkedIn"/>
    <s v="2025-01-01"/>
    <s v="Video"/>
    <x v="5"/>
    <s v="AppleLifestyle"/>
    <n v="8283"/>
    <n v="720"/>
    <n v="888"/>
    <n v="611"/>
    <n v="52791"/>
    <n v="235229"/>
    <s v="Apple Watch Ultra 2 Launch"/>
    <n v="4.2048386891072109"/>
  </r>
  <r>
    <s v="A275"/>
    <s v="Instagram"/>
    <s v="2024-08-05"/>
    <s v="Tweet"/>
    <x v="6"/>
    <s v="Health"/>
    <n v="4048"/>
    <n v="751"/>
    <n v="930"/>
    <n v="1382"/>
    <n v="16844"/>
    <n v="148177"/>
    <s v="iPhone 16 Launch"/>
    <n v="3.8663220337839208"/>
  </r>
  <r>
    <s v="A276"/>
    <s v="LinkedIn"/>
    <s v="2024-06-07"/>
    <s v="Video"/>
    <x v="3"/>
    <s v="iPadPro"/>
    <n v="8233"/>
    <n v="436"/>
    <n v="269"/>
    <n v="2037"/>
    <n v="8875"/>
    <n v="52289"/>
    <s v="Apple Watch Ultra 2 Launch"/>
    <n v="17.093461339861157"/>
  </r>
  <r>
    <s v="A277"/>
    <s v="Instagram"/>
    <s v="2025-04-06"/>
    <s v="Image"/>
    <x v="9"/>
    <m/>
    <n v="14941"/>
    <n v="1424"/>
    <n v="238"/>
    <n v="1054"/>
    <n v="20516"/>
    <n v="216048"/>
    <s v="MacBook Air M3 Campaign"/>
    <n v="7.6848663260016297"/>
  </r>
  <r>
    <s v="A278"/>
    <s v="Twitter"/>
    <s v="2024-11-26"/>
    <s v="Video"/>
    <x v="5"/>
    <s v="AppleLifestyle"/>
    <n v="14607"/>
    <n v="1458"/>
    <n v="478"/>
    <n v="334"/>
    <n v="49257"/>
    <n v="214668"/>
    <s v="iPhone 16 Launch"/>
    <n v="7.7063185942944452"/>
  </r>
  <r>
    <s v="A279"/>
    <s v="Instagram"/>
    <s v="2024-09-02"/>
    <s v="Video"/>
    <x v="3"/>
    <s v="iPadPro"/>
    <n v="11765"/>
    <n v="693"/>
    <n v="729"/>
    <n v="744"/>
    <n v="97772"/>
    <n v="194243"/>
    <s v="Apple Watch Ultra 2 Launch"/>
    <n v="6.7889190344053576"/>
  </r>
  <r>
    <s v="A280"/>
    <s v="Twitter"/>
    <d v="2025-09-18T00:00:00"/>
    <s v="Video"/>
    <x v="5"/>
    <s v="AppleLifestyle"/>
    <n v="3828"/>
    <n v="203"/>
    <n v="506"/>
    <n v="2440"/>
    <n v="63650"/>
    <n v="126365"/>
    <s v="Apple Event September 2025"/>
    <n v="3.5903929094290348"/>
  </r>
  <r>
    <s v="A281"/>
    <s v="LinkedIn"/>
    <s v="2025-03-22"/>
    <s v="Video"/>
    <x v="3"/>
    <s v="iPhone16"/>
    <n v="3917"/>
    <n v="865"/>
    <n v="759"/>
    <n v="2282"/>
    <n v="56125"/>
    <n v="154014"/>
    <s v="Apple Watch Ultra 2 Launch"/>
    <n v="3.5977248821535706"/>
  </r>
  <r>
    <s v="A282"/>
    <s v="LinkedIn"/>
    <s v="2024-10-03"/>
    <s v="Image"/>
    <x v="3"/>
    <s v="iPadPro"/>
    <n v="22618"/>
    <n v="641"/>
    <n v="416"/>
    <n v="1530"/>
    <n v="18395"/>
    <n v="215211"/>
    <s v="MacBook Air M3 Campaign"/>
    <n v="11.000831741871931"/>
  </r>
  <r>
    <s v="A283"/>
    <s v="Twitter"/>
    <s v="2025-05-09"/>
    <s v="Carousel"/>
    <x v="6"/>
    <s v="Health"/>
    <n v="8988"/>
    <n v="228"/>
    <n v="766"/>
    <n v="652"/>
    <n v="63789"/>
    <n v="219785"/>
    <s v="Sustainability Awareness Drive"/>
    <n v="4.5417112177810131"/>
  </r>
  <r>
    <s v="A284"/>
    <s v="YouTube"/>
    <s v="2024-09-17"/>
    <s v="Video"/>
    <x v="5"/>
    <s v="AppleLifestyle"/>
    <n v="20410"/>
    <n v="1332"/>
    <n v="472"/>
    <n v="1202"/>
    <n v="9418"/>
    <n v="200806"/>
    <s v="Apple Watch Ultra 2 Launch"/>
    <n v="11.062418453631864"/>
  </r>
  <r>
    <s v="A285"/>
    <s v="Twitter"/>
    <s v="2024-07-18"/>
    <s v="Video"/>
    <x v="0"/>
    <s v="HealthTech"/>
    <n v="16594"/>
    <n v="809"/>
    <n v="784"/>
    <n v="1655"/>
    <n v="35505"/>
    <n v="112588"/>
    <s v="Sustainability Awareness Drive"/>
    <n v="16.153586527871532"/>
  </r>
  <r>
    <s v="A286"/>
    <s v="YouTube"/>
    <d v="2025-09-19T00:00:00"/>
    <s v="Tweet"/>
    <x v="6"/>
    <s v="Health"/>
    <n v="22128"/>
    <n v="1004"/>
    <n v="690"/>
    <n v="2048"/>
    <n v="19443"/>
    <n v="103646"/>
    <s v="Apple Event September 2025"/>
    <n v="22.984003241803833"/>
  </r>
  <r>
    <s v="A287"/>
    <s v="Instagram"/>
    <s v="2024-08-15"/>
    <s v="Video"/>
    <x v="3"/>
    <s v="iPadPro"/>
    <n v="14977"/>
    <n v="274"/>
    <n v="798"/>
    <n v="458"/>
    <n v="6636"/>
    <n v="43654"/>
    <s v="Apple Watch Ultra 2 Launch"/>
    <n v="36.76409950978146"/>
  </r>
  <r>
    <s v="A288"/>
    <s v="Instagram"/>
    <s v="2025-04-17"/>
    <s v="Tweet"/>
    <x v="6"/>
    <s v="Health"/>
    <n v="2009"/>
    <n v="1037"/>
    <n v="344"/>
    <n v="2277"/>
    <n v="85743"/>
    <n v="58743"/>
    <s v="iPhone 16 Launch"/>
    <n v="5.7709003625963939"/>
  </r>
  <r>
    <s v="A289"/>
    <s v="Instagram"/>
    <s v="2024-11-28"/>
    <s v="Carousel"/>
    <x v="5"/>
    <s v="AppleLifestyle"/>
    <n v="18644"/>
    <n v="1369"/>
    <n v="887"/>
    <n v="1256"/>
    <n v="43415"/>
    <n v="88368"/>
    <s v="Sustainability Awareness Drive"/>
    <n v="23.651095419156256"/>
  </r>
  <r>
    <s v="A290"/>
    <s v="LinkedIn"/>
    <d v="2025-09-20T00:00:00"/>
    <s v="Image"/>
    <x v="4"/>
    <m/>
    <n v="24422"/>
    <n v="327"/>
    <n v="481"/>
    <n v="2371"/>
    <n v="35340"/>
    <n v="245244"/>
    <s v="Apple Event September 2025"/>
    <n v="10.287713460879777"/>
  </r>
  <r>
    <s v="A291"/>
    <s v="Instagram"/>
    <s v="2024-11-06"/>
    <s v="Image"/>
    <x v="5"/>
    <s v="AppleLifestyle"/>
    <n v="11865"/>
    <n v="241"/>
    <n v="319"/>
    <n v="703"/>
    <n v="69596"/>
    <n v="177513"/>
    <s v="iPhone 16 Launch"/>
    <n v="6.9994873614890176"/>
  </r>
  <r>
    <s v="A292"/>
    <s v="YouTube"/>
    <s v="2024-11-17"/>
    <s v="Carousel"/>
    <x v="5"/>
    <s v="AppleLifestyle"/>
    <n v="4219"/>
    <n v="240"/>
    <n v="670"/>
    <n v="815"/>
    <n v="11978"/>
    <n v="159735"/>
    <s v="iPhone 16 Launch"/>
    <n v="3.2109431245500355"/>
  </r>
  <r>
    <s v="A293"/>
    <s v="Instagram"/>
    <s v="2025-05-14"/>
    <s v="Image"/>
    <x v="3"/>
    <s v="iPhone16"/>
    <n v="9041"/>
    <n v="1133"/>
    <n v="612"/>
    <n v="1687"/>
    <n v="28102"/>
    <n v="195683"/>
    <s v="iPhone 16 Launch"/>
    <n v="5.51197600200324"/>
  </r>
  <r>
    <s v="A294"/>
    <s v="Twitter"/>
    <s v="2024-06-19"/>
    <s v="Carousel"/>
    <x v="8"/>
    <s v="ShotOniPhone"/>
    <n v="20444"/>
    <n v="233"/>
    <n v="189"/>
    <n v="2879"/>
    <n v="28185"/>
    <n v="159891"/>
    <s v="iPhone 16 Launch"/>
    <n v="13.050140408153055"/>
  </r>
  <r>
    <s v="A295"/>
    <s v="Twitter"/>
    <s v="2025-05-06"/>
    <s v="Carousel"/>
    <x v="0"/>
    <s v="HealthTech"/>
    <n v="7287"/>
    <n v="1240"/>
    <n v="686"/>
    <n v="1255"/>
    <n v="15403"/>
    <n v="147971"/>
    <s v="Apple Watch Ultra 2 Launch"/>
    <n v="6.2262200025680707"/>
  </r>
  <r>
    <s v="A296"/>
    <s v="LinkedIn"/>
    <s v="2025-02-11"/>
    <s v="Carousel"/>
    <x v="10"/>
    <s v="AppleEarth"/>
    <n v="3619"/>
    <n v="1376"/>
    <n v="410"/>
    <n v="2499"/>
    <n v="58146"/>
    <n v="52149"/>
    <s v="Apple Watch Ultra 2 Launch"/>
    <n v="10.364532397553166"/>
  </r>
  <r>
    <s v="A297"/>
    <s v="Twitter"/>
    <s v="2024-12-24"/>
    <s v="Image"/>
    <x v="9"/>
    <m/>
    <n v="10512"/>
    <n v="1197"/>
    <n v="544"/>
    <n v="2012"/>
    <n v="10245"/>
    <n v="140102"/>
    <s v="Apple Watch Ultra 2 Launch"/>
    <n v="8.7457709383163689"/>
  </r>
  <r>
    <s v="A298"/>
    <s v="YouTube"/>
    <d v="2025-09-24T00:00:00"/>
    <s v="Tweet"/>
    <x v="7"/>
    <s v="AppleEvent"/>
    <n v="3342"/>
    <n v="787"/>
    <n v="375"/>
    <n v="907"/>
    <n v="85823"/>
    <n v="99189"/>
    <s v="Apple Event September 2025"/>
    <n v="4.5408260996683101"/>
  </r>
  <r>
    <s v="A299"/>
    <s v="Instagram"/>
    <d v="2025-09-25T00:00:00"/>
    <s v="Carousel"/>
    <x v="8"/>
    <s v="ShotOniPhone"/>
    <n v="12568"/>
    <n v="541"/>
    <n v="273"/>
    <n v="2767"/>
    <n v="22331"/>
    <n v="192747"/>
    <s v="Apple Event September 2025"/>
    <n v="6.9427799135654515"/>
  </r>
  <r>
    <s v="A300"/>
    <s v="LinkedIn"/>
    <d v="2025-09-26T00:00:00"/>
    <s v="Video"/>
    <x v="7"/>
    <s v="AppleEvent"/>
    <n v="21216"/>
    <n v="226"/>
    <n v="187"/>
    <n v="1573"/>
    <n v="62688"/>
    <n v="111031"/>
    <s v="Apple Event September 2025"/>
    <n v="19.48014518467815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s v="2024-06-03"/>
    <s v="Instagram"/>
    <n v="4138"/>
    <n v="361"/>
    <n v="103777"/>
    <n v="3.6395347716738774E-2"/>
    <n v="56.637790647253247"/>
    <n v="23944"/>
    <x v="0"/>
  </r>
  <r>
    <s v="2024-06-03"/>
    <s v="Twitter"/>
    <n v="8693"/>
    <n v="1261"/>
    <n v="111209"/>
    <n v="6.6829123542159363E-2"/>
    <n v="69.475492091467416"/>
    <n v="29873"/>
    <x v="0"/>
  </r>
  <r>
    <s v="2024-06-03"/>
    <s v="YouTube"/>
    <n v="9264"/>
    <n v="1141"/>
    <n v="119332"/>
    <n v="6.8070592967519189E-2"/>
    <n v="92.312204605638044"/>
    <n v="50372"/>
    <x v="0"/>
  </r>
  <r>
    <s v="2024-06-10"/>
    <s v="Instagram"/>
    <n v="7721"/>
    <n v="506"/>
    <n v="134418"/>
    <n v="5.3675846984778827E-2"/>
    <n v="35.577824398518047"/>
    <n v="25379"/>
    <x v="0"/>
  </r>
  <r>
    <s v="2024-06-10"/>
    <s v="YouTube"/>
    <n v="8002"/>
    <n v="524"/>
    <n v="141896"/>
    <n v="5.270056943113266E-2"/>
    <n v="52.064892597395271"/>
    <n v="46751"/>
    <x v="0"/>
  </r>
  <r>
    <s v="2024-06-10"/>
    <s v="Twitter"/>
    <n v="5225"/>
    <n v="291"/>
    <n v="146830"/>
    <n v="3.3603487025812166E-2"/>
    <n v="19.551862698358651"/>
    <n v="44546"/>
    <x v="0"/>
  </r>
  <r>
    <s v="2024-06-17"/>
    <s v="Instagram"/>
    <n v="8373"/>
    <n v="921"/>
    <n v="157717"/>
    <n v="4.7249186834646864E-2"/>
    <n v="12.2263294381709"/>
    <n v="15110"/>
    <x v="1"/>
  </r>
  <r>
    <s v="2024-06-17"/>
    <s v="Twitter"/>
    <n v="6907"/>
    <n v="834"/>
    <n v="163790"/>
    <n v="3.7077965687770928E-2"/>
    <n v="54.158984064961238"/>
    <n v="22087"/>
    <x v="1"/>
  </r>
  <r>
    <s v="2024-06-17"/>
    <s v="LinkedIn"/>
    <n v="7097"/>
    <n v="369"/>
    <n v="170518"/>
    <n v="3.9456245088495059E-2"/>
    <n v="9.2506362964613711"/>
    <n v="33762"/>
    <x v="1"/>
  </r>
  <r>
    <s v="2024-06-24"/>
    <s v="Twitter"/>
    <n v="9984"/>
    <n v="1330"/>
    <n v="184850"/>
    <n v="4.6816337571003515E-2"/>
    <n v="57.524479307546663"/>
    <n v="44947"/>
    <x v="1"/>
  </r>
  <r>
    <s v="2024-06-24"/>
    <s v="Instagram"/>
    <n v="5259"/>
    <n v="374"/>
    <n v="189735"/>
    <n v="2.5746435818378266E-2"/>
    <n v="14.827522597306769"/>
    <n v="19596"/>
    <x v="1"/>
  </r>
  <r>
    <s v="2024-06-24"/>
    <s v="YouTube"/>
    <n v="9286"/>
    <n v="633"/>
    <n v="198388"/>
    <n v="4.3616549388067825E-2"/>
    <n v="5.4343004617214756"/>
    <n v="48019"/>
    <x v="1"/>
  </r>
  <r>
    <s v="2024-07-01"/>
    <s v="LinkedIn"/>
    <n v="5917"/>
    <n v="475"/>
    <n v="210260"/>
    <n v="2.5882241034909159E-2"/>
    <n v="17.894035955483691"/>
    <n v="28313"/>
    <x v="1"/>
  </r>
  <r>
    <s v="2024-07-01"/>
    <s v="Twitter"/>
    <n v="9429"/>
    <n v="966"/>
    <n v="218723"/>
    <n v="3.8692775794040866E-2"/>
    <n v="7.6914636320825887"/>
    <n v="57639"/>
    <x v="1"/>
  </r>
  <r>
    <s v="2024-07-01"/>
    <s v="Instagram"/>
    <n v="3530"/>
    <n v="328"/>
    <n v="221925"/>
    <n v="1.4428297848372199E-2"/>
    <n v="12.8372197814577"/>
    <n v="11013"/>
    <x v="1"/>
  </r>
  <r>
    <s v="2024-07-08"/>
    <s v="Twitter"/>
    <n v="8045"/>
    <n v="894"/>
    <n v="231802"/>
    <n v="3.084960440375838E-2"/>
    <n v="47.634187798207087"/>
    <n v="33705"/>
    <x v="1"/>
  </r>
  <r>
    <s v="2024-07-08"/>
    <s v="LinkedIn"/>
    <n v="2048"/>
    <n v="130"/>
    <n v="233720"/>
    <n v="8.2064008214958063E-3"/>
    <n v="39.284614068115687"/>
    <n v="11828"/>
    <x v="1"/>
  </r>
  <r>
    <s v="2024-07-15"/>
    <s v="Instagram"/>
    <n v="3964"/>
    <n v="378"/>
    <n v="246766"/>
    <n v="1.453198576789347E-2"/>
    <n v="13.6355899921383"/>
    <n v="23109"/>
    <x v="1"/>
  </r>
  <r>
    <s v="2024-07-15"/>
    <s v="Twitter"/>
    <n v="8137"/>
    <n v="1045"/>
    <n v="253858"/>
    <n v="2.7936878097203948E-2"/>
    <n v="20.47246886054408"/>
    <n v="12023"/>
    <x v="1"/>
  </r>
  <r>
    <s v="2024-07-15"/>
    <s v="YouTube"/>
    <n v="1963"/>
    <n v="137"/>
    <n v="255684"/>
    <n v="7.1416279469970747E-3"/>
    <n v="11.2083665774941"/>
    <n v="24537"/>
    <x v="1"/>
  </r>
  <r>
    <s v="2024-07-22"/>
    <s v="LinkedIn"/>
    <n v="8340"/>
    <n v="911"/>
    <n v="264494"/>
    <n v="2.8087593669421613E-2"/>
    <n v="37.302925586213682"/>
    <n v="48659"/>
    <x v="2"/>
  </r>
  <r>
    <s v="2024-07-22"/>
    <s v="Twitter"/>
    <n v="8179"/>
    <n v="446"/>
    <n v="272227"/>
    <n v="2.8406440213498294E-2"/>
    <n v="41.82171496581897"/>
    <n v="43848"/>
    <x v="2"/>
  </r>
  <r>
    <s v="2024-07-22"/>
    <s v="YouTube"/>
    <n v="9734"/>
    <n v="652"/>
    <n v="289283"/>
    <n v="3.1394862470314533E-2"/>
    <n v="49.647922622483861"/>
    <n v="25379"/>
    <x v="2"/>
  </r>
  <r>
    <s v="2024-07-29"/>
    <s v="LinkedIn"/>
    <n v="1845"/>
    <n v="104"/>
    <n v="291024"/>
    <n v="5.9823244818296775E-3"/>
    <n v="28.158158777282971"/>
    <n v="37766"/>
    <x v="2"/>
  </r>
  <r>
    <s v="2024-07-29"/>
    <s v="YouTube"/>
    <n v="4036"/>
    <n v="591"/>
    <n v="300265"/>
    <n v="1.1473198674504187E-2"/>
    <n v="44.219272975538267"/>
    <n v="12563"/>
    <x v="2"/>
  </r>
  <r>
    <s v="2024-07-29"/>
    <s v="Twitter"/>
    <n v="6947"/>
    <n v="908"/>
    <n v="306304"/>
    <n v="1.9715707271207691E-2"/>
    <n v="14.117673944839121"/>
    <n v="46060"/>
    <x v="2"/>
  </r>
  <r>
    <s v="2024-08-05"/>
    <s v="Instagram"/>
    <n v="3494"/>
    <n v="281"/>
    <n v="309517"/>
    <n v="1.0380689913639638E-2"/>
    <n v="27.765518533715429"/>
    <n v="39197"/>
    <x v="2"/>
  </r>
  <r>
    <s v="2024-08-05"/>
    <s v="Twitter"/>
    <n v="3719"/>
    <n v="222"/>
    <n v="313014"/>
    <n v="1.1172024254506188E-2"/>
    <n v="21.669318305251519"/>
    <n v="13586"/>
    <x v="2"/>
  </r>
  <r>
    <s v="2024-08-05"/>
    <s v="YouTube"/>
    <n v="2884"/>
    <n v="341"/>
    <n v="315557"/>
    <n v="8.058765928184131E-3"/>
    <n v="46.999749649033298"/>
    <n v="26087"/>
    <x v="2"/>
  </r>
  <r>
    <s v="2024-08-05"/>
    <s v="LinkedIn"/>
    <n v="5349"/>
    <n v="502"/>
    <n v="320404"/>
    <n v="1.5127776182569505E-2"/>
    <n v="5.2152906954969351"/>
    <n v="58868"/>
    <x v="2"/>
  </r>
  <r>
    <s v="2024-08-12"/>
    <s v="Twitter"/>
    <n v="6179"/>
    <n v="384"/>
    <n v="326199"/>
    <n v="1.7765229200580015E-2"/>
    <n v="14.71218489327067"/>
    <n v="33225"/>
    <x v="2"/>
  </r>
  <r>
    <s v="2024-08-12"/>
    <s v="Instagram"/>
    <n v="7610"/>
    <n v="757"/>
    <n v="333052"/>
    <n v="2.0576366453286574E-2"/>
    <n v="44.450416151231643"/>
    <n v="39750"/>
    <x v="2"/>
  </r>
  <r>
    <s v="2024-08-12"/>
    <s v="YouTube"/>
    <n v="7430"/>
    <n v="397"/>
    <n v="340085"/>
    <n v="2.0680124086625402E-2"/>
    <n v="28.065042562888689"/>
    <n v="16643"/>
    <x v="2"/>
  </r>
  <r>
    <s v="2024-08-19"/>
    <s v="Instagram"/>
    <n v="7488"/>
    <n v="568"/>
    <n v="354010"/>
    <n v="1.9547470410440384E-2"/>
    <n v="13.47730290104799"/>
    <n v="46727"/>
    <x v="2"/>
  </r>
  <r>
    <s v="2024-08-19"/>
    <s v="YouTube"/>
    <n v="5737"/>
    <n v="666"/>
    <n v="359081"/>
    <n v="1.4122161852061233E-2"/>
    <n v="4.6034181702735593"/>
    <n v="21005"/>
    <x v="2"/>
  </r>
  <r>
    <s v="2024-08-26"/>
    <s v="LinkedIn"/>
    <n v="1689"/>
    <n v="176"/>
    <n v="371865"/>
    <n v="4.068680838476329E-3"/>
    <n v="38.012181840183942"/>
    <n v="26029"/>
    <x v="2"/>
  </r>
  <r>
    <s v="2024-08-26"/>
    <s v="Twitter"/>
    <n v="6175"/>
    <n v="422"/>
    <n v="377618"/>
    <n v="1.523497290913039E-2"/>
    <n v="37.86101298137271"/>
    <n v="59745"/>
    <x v="2"/>
  </r>
  <r>
    <s v="2024-08-26"/>
    <s v="Instagram"/>
    <n v="9648"/>
    <n v="1417"/>
    <n v="385849"/>
    <n v="2.1332179168534842E-2"/>
    <n v="3.6633501706626168"/>
    <n v="24226"/>
    <x v="2"/>
  </r>
  <r>
    <s v="2024-08-26"/>
    <s v="YouTube"/>
    <n v="6078"/>
    <n v="775"/>
    <n v="391152"/>
    <n v="1.3557389454738823E-2"/>
    <n v="37.760512537325639"/>
    <n v="38731"/>
    <x v="2"/>
  </r>
  <r>
    <s v="2024-09-02"/>
    <s v="Instagram"/>
    <n v="6448"/>
    <n v="928"/>
    <n v="396672"/>
    <n v="1.3915779283639884E-2"/>
    <n v="30.118586640851881"/>
    <n v="53922"/>
    <x v="2"/>
  </r>
  <r>
    <s v="2024-09-02"/>
    <s v="Twitter"/>
    <n v="7406"/>
    <n v="813"/>
    <n v="405141"/>
    <n v="1.6273346810122897E-2"/>
    <n v="24.457411123534769"/>
    <n v="13390"/>
    <x v="2"/>
  </r>
  <r>
    <s v="2024-09-02"/>
    <s v="LinkedIn"/>
    <n v="9591"/>
    <n v="1363"/>
    <n v="413369"/>
    <n v="1.9904734026983156E-2"/>
    <n v="10.494255737609739"/>
    <n v="15997"/>
    <x v="2"/>
  </r>
  <r>
    <s v="2024-09-09"/>
    <s v="Instagram"/>
    <n v="7907"/>
    <n v="465"/>
    <n v="420811"/>
    <n v="1.76848989213685E-2"/>
    <n v="33.257448118038738"/>
    <n v="22693"/>
    <x v="3"/>
  </r>
  <r>
    <s v="2024-09-09"/>
    <s v="YouTube"/>
    <n v="9800"/>
    <n v="682"/>
    <n v="429929"/>
    <n v="2.1208152974095722E-2"/>
    <n v="6.2966210699906267"/>
    <n v="59815"/>
    <x v="3"/>
  </r>
  <r>
    <s v="2024-09-09"/>
    <s v="LinkedIn"/>
    <n v="6671"/>
    <n v="550"/>
    <n v="438545"/>
    <n v="1.3957518612685129E-2"/>
    <n v="17.750287883797562"/>
    <n v="10541"/>
    <x v="3"/>
  </r>
  <r>
    <s v="2024-09-16"/>
    <s v="YouTube"/>
    <n v="7928"/>
    <n v="704"/>
    <n v="445769"/>
    <n v="1.6205702953772022E-2"/>
    <n v="11.194362999670229"/>
    <n v="31817"/>
    <x v="3"/>
  </r>
  <r>
    <s v="2024-09-16"/>
    <s v="LinkedIn"/>
    <n v="2382"/>
    <n v="183"/>
    <n v="447968"/>
    <n v="4.9088327737695546E-3"/>
    <n v="4.7335970426459033"/>
    <n v="47861"/>
    <x v="3"/>
  </r>
  <r>
    <s v="2024-09-16"/>
    <s v="Twitter"/>
    <n v="4292"/>
    <n v="367"/>
    <n v="453977"/>
    <n v="8.6458124530537899E-3"/>
    <n v="3.5037017293827661"/>
    <n v="53934"/>
    <x v="3"/>
  </r>
  <r>
    <s v="2024-09-23"/>
    <s v="Instagram"/>
    <n v="1419"/>
    <n v="110"/>
    <n v="455286"/>
    <n v="2.8751158612388694E-3"/>
    <n v="31.554451487636339"/>
    <n v="58831"/>
    <x v="3"/>
  </r>
  <r>
    <s v="2024-09-23"/>
    <s v="Twitter"/>
    <n v="5517"/>
    <n v="575"/>
    <n v="460228"/>
    <n v="1.07381558705685E-2"/>
    <n v="29.45844233727631"/>
    <n v="20258"/>
    <x v="3"/>
  </r>
  <r>
    <s v="2024-09-30"/>
    <s v="Instagram"/>
    <n v="8870"/>
    <n v="509"/>
    <n v="480320"/>
    <n v="1.7407145236508995E-2"/>
    <n v="25.077864756828781"/>
    <n v="15469"/>
    <x v="3"/>
  </r>
  <r>
    <s v="2024-09-30"/>
    <s v="Twitter"/>
    <n v="6693"/>
    <n v="995"/>
    <n v="486018"/>
    <n v="1.1723845618886543E-2"/>
    <n v="23.761877132122681"/>
    <n v="38854"/>
    <x v="3"/>
  </r>
  <r>
    <s v="2024-10-07"/>
    <s v="LinkedIn"/>
    <n v="2549"/>
    <n v="128"/>
    <n v="492814"/>
    <n v="4.9126039438814641E-3"/>
    <n v="12.734216154573531"/>
    <n v="43937"/>
    <x v="4"/>
  </r>
  <r>
    <s v="2024-10-07"/>
    <s v="YouTube"/>
    <n v="7140"/>
    <n v="939"/>
    <n v="499015"/>
    <n v="1.2426480165926877E-2"/>
    <n v="25.120888149654821"/>
    <n v="43598"/>
    <x v="4"/>
  </r>
  <r>
    <s v="2024-10-07"/>
    <s v="Instagram"/>
    <n v="5481"/>
    <n v="673"/>
    <n v="507970"/>
    <n v="9.4651258932614123E-3"/>
    <n v="13.08758391243577"/>
    <n v="29194"/>
    <x v="4"/>
  </r>
  <r>
    <s v="2024-10-14"/>
    <s v="Twitter"/>
    <n v="8898"/>
    <n v="1131"/>
    <n v="515737"/>
    <n v="1.5060001512398761E-2"/>
    <n v="2.1877429775253669"/>
    <n v="35051"/>
    <x v="4"/>
  </r>
  <r>
    <s v="2024-10-14"/>
    <s v="YouTube"/>
    <n v="7548"/>
    <n v="433"/>
    <n v="522852"/>
    <n v="1.3608057347012157E-2"/>
    <n v="8.3562843787534522"/>
    <n v="37386"/>
    <x v="4"/>
  </r>
  <r>
    <s v="2024-10-21"/>
    <s v="Instagram"/>
    <n v="8758"/>
    <n v="1193"/>
    <n v="538906"/>
    <n v="1.4037698596786824E-2"/>
    <n v="3.4213758985797149"/>
    <n v="26184"/>
    <x v="4"/>
  </r>
  <r>
    <s v="2024-10-21"/>
    <s v="YouTube"/>
    <n v="7793"/>
    <n v="875"/>
    <n v="545824"/>
    <n v="1.267441519610717E-2"/>
    <n v="5.5136820660139527"/>
    <n v="43787"/>
    <x v="4"/>
  </r>
  <r>
    <s v="2024-10-28"/>
    <s v="YouTube"/>
    <n v="7007"/>
    <n v="568"/>
    <n v="568671"/>
    <n v="1.1322891443382905E-2"/>
    <n v="11.50507059442103"/>
    <n v="22448"/>
    <x v="4"/>
  </r>
  <r>
    <s v="2024-10-28"/>
    <s v="LinkedIn"/>
    <n v="7356"/>
    <n v="904"/>
    <n v="581126"/>
    <n v="1.1102583604932494E-2"/>
    <n v="17.560907617280929"/>
    <n v="44051"/>
    <x v="4"/>
  </r>
  <r>
    <s v="2024-11-04"/>
    <s v="Twitter"/>
    <n v="8380"/>
    <n v="1162"/>
    <n v="596704"/>
    <n v="1.2096449831072022E-2"/>
    <n v="18.05853488496809"/>
    <n v="40447"/>
    <x v="2"/>
  </r>
  <r>
    <s v="2024-11-04"/>
    <s v="YouTube"/>
    <n v="3385"/>
    <n v="329"/>
    <n v="599760"/>
    <n v="5.0953714819261036E-3"/>
    <n v="17.61788048552755"/>
    <n v="28394"/>
    <x v="2"/>
  </r>
  <r>
    <s v="2024-11-04"/>
    <s v="LinkedIn"/>
    <n v="5268"/>
    <n v="326"/>
    <n v="604702"/>
    <n v="8.1726205635172366E-3"/>
    <n v="23.435841125050029"/>
    <n v="44501"/>
    <x v="2"/>
  </r>
  <r>
    <s v="2024-11-11"/>
    <s v="Twitter"/>
    <n v="1163"/>
    <n v="146"/>
    <n v="607188"/>
    <n v="1.6749342872388782E-3"/>
    <n v="21.77776899411715"/>
    <n v="28509"/>
    <x v="2"/>
  </r>
  <r>
    <s v="2024-11-11"/>
    <s v="LinkedIn"/>
    <n v="5592"/>
    <n v="710"/>
    <n v="620702"/>
    <n v="7.8652880126050834E-3"/>
    <n v="9.07118069540617"/>
    <n v="24472"/>
    <x v="2"/>
  </r>
  <r>
    <s v="2024-11-11"/>
    <s v="YouTube"/>
    <n v="5795"/>
    <n v="575"/>
    <n v="625922"/>
    <n v="8.3396972785746461E-3"/>
    <n v="3.0908004511744269"/>
    <n v="55657"/>
    <x v="2"/>
  </r>
  <r>
    <s v="2024-11-18"/>
    <s v="Instagram"/>
    <n v="5798"/>
    <n v="592"/>
    <n v="631128"/>
    <n v="8.2487229214992831E-3"/>
    <n v="1.6774727155188811"/>
    <n v="13471"/>
    <x v="2"/>
  </r>
  <r>
    <s v="2024-11-18"/>
    <s v="Twitter"/>
    <n v="7036"/>
    <n v="652"/>
    <n v="637512"/>
    <n v="1.0013929149568949E-2"/>
    <n v="3.5705994553828009"/>
    <n v="51796"/>
    <x v="2"/>
  </r>
  <r>
    <s v="2024-11-18"/>
    <s v="LinkedIn"/>
    <n v="3355"/>
    <n v="176"/>
    <n v="640691"/>
    <n v="4.9618302738761748E-3"/>
    <n v="12.426427091999111"/>
    <n v="40268"/>
    <x v="2"/>
  </r>
  <r>
    <s v="2024-11-25"/>
    <s v="Instagram"/>
    <n v="8961"/>
    <n v="476"/>
    <n v="655645"/>
    <n v="1.2941454598143812E-2"/>
    <n v="15.458517947974901"/>
    <n v="44865"/>
    <x v="2"/>
  </r>
  <r>
    <s v="2024-11-25"/>
    <s v="LinkedIn"/>
    <n v="9737"/>
    <n v="792"/>
    <n v="670642"/>
    <n v="1.3337965710468476E-2"/>
    <n v="5.301785453341723"/>
    <n v="56698"/>
    <x v="2"/>
  </r>
  <r>
    <s v="2024-11-25"/>
    <s v="YouTube"/>
    <n v="5719"/>
    <n v="576"/>
    <n v="675785"/>
    <n v="7.6104086358827145E-3"/>
    <n v="10.21656296011305"/>
    <n v="38272"/>
    <x v="2"/>
  </r>
  <r>
    <s v="2024-12-02"/>
    <s v="Instagram"/>
    <n v="1593"/>
    <n v="224"/>
    <n v="677154"/>
    <n v="2.0216966893793729E-3"/>
    <n v="4.1495730660972248"/>
    <n v="52845"/>
    <x v="5"/>
  </r>
  <r>
    <s v="2024-12-02"/>
    <s v="LinkedIn"/>
    <n v="5839"/>
    <n v="437"/>
    <n v="682556"/>
    <n v="7.9143689309009082E-3"/>
    <n v="17.44750613869045"/>
    <n v="16397"/>
    <x v="5"/>
  </r>
  <r>
    <s v="2024-12-02"/>
    <s v="YouTube"/>
    <n v="4493"/>
    <n v="564"/>
    <n v="694115"/>
    <n v="5.660445315257558E-3"/>
    <n v="16.625487131094989"/>
    <n v="45525"/>
    <x v="5"/>
  </r>
  <r>
    <s v="2024-12-09"/>
    <s v="Twitter"/>
    <n v="7164"/>
    <n v="522"/>
    <n v="700757"/>
    <n v="9.4783213011072308E-3"/>
    <n v="13.449169969047761"/>
    <n v="34570"/>
    <x v="5"/>
  </r>
  <r>
    <s v="2024-12-09"/>
    <s v="Instagram"/>
    <n v="3672"/>
    <n v="211"/>
    <n v="704218"/>
    <n v="4.9146713091684675E-3"/>
    <n v="12.35057894004413"/>
    <n v="28284"/>
    <x v="5"/>
  </r>
  <r>
    <s v="2024-12-09"/>
    <s v="YouTube"/>
    <n v="5200"/>
    <n v="410"/>
    <n v="709008"/>
    <n v="6.7559181278631555E-3"/>
    <n v="12.913394489201821"/>
    <n v="28994"/>
    <x v="5"/>
  </r>
  <r>
    <s v="2024-12-09"/>
    <s v="LinkedIn"/>
    <n v="1016"/>
    <n v="67"/>
    <n v="709957"/>
    <n v="1.3367006734210664E-3"/>
    <n v="20.774215903216671"/>
    <n v="33284"/>
    <x v="5"/>
  </r>
  <r>
    <s v="2024-12-16"/>
    <s v="Instagram"/>
    <n v="4191"/>
    <n v="599"/>
    <n v="713549"/>
    <n v="5.033992059410076E-3"/>
    <n v="11.56416728213479"/>
    <n v="27833"/>
    <x v="5"/>
  </r>
  <r>
    <s v="2024-12-16"/>
    <s v="LinkedIn"/>
    <n v="9616"/>
    <n v="1089"/>
    <n v="723286"/>
    <n v="1.178925072516266E-2"/>
    <n v="19.25863351426683"/>
    <n v="15017"/>
    <x v="5"/>
  </r>
  <r>
    <s v="2024-12-16"/>
    <s v="Twitter"/>
    <n v="7272"/>
    <n v="997"/>
    <n v="729561"/>
    <n v="8.6010628309353167E-3"/>
    <n v="13.428486445958599"/>
    <n v="26370"/>
    <x v="5"/>
  </r>
  <r>
    <s v="2024-12-23"/>
    <s v="LinkedIn"/>
    <n v="1571"/>
    <n v="204"/>
    <n v="730928"/>
    <n v="1.8702252479040344E-3"/>
    <n v="19.449384891535139"/>
    <n v="39252"/>
    <x v="5"/>
  </r>
  <r>
    <s v="2024-12-23"/>
    <s v="Instagram"/>
    <n v="4631"/>
    <n v="317"/>
    <n v="735242"/>
    <n v="5.8674558852731479E-3"/>
    <n v="1.381177897889402"/>
    <n v="17999"/>
    <x v="5"/>
  </r>
  <r>
    <s v="2024-12-23"/>
    <s v="YouTube"/>
    <n v="8177"/>
    <n v="849"/>
    <n v="748744"/>
    <n v="9.7870567243276748E-3"/>
    <n v="10.34986590877523"/>
    <n v="52963"/>
    <x v="5"/>
  </r>
  <r>
    <s v="2024-12-30"/>
    <s v="LinkedIn"/>
    <n v="9433"/>
    <n v="1233"/>
    <n v="756944"/>
    <n v="1.0833033883616226E-2"/>
    <n v="11.391727789638329"/>
    <n v="12096"/>
    <x v="6"/>
  </r>
  <r>
    <s v="2024-12-30"/>
    <s v="Instagram"/>
    <n v="4897"/>
    <n v="683"/>
    <n v="761158"/>
    <n v="5.5363012672795921E-3"/>
    <n v="15.06231294947961"/>
    <n v="58201"/>
    <x v="6"/>
  </r>
  <r>
    <s v="2024-12-30"/>
    <s v="Twitter"/>
    <n v="3279"/>
    <n v="200"/>
    <n v="772614"/>
    <n v="3.9851724146857288E-3"/>
    <n v="5.0212654702089274"/>
    <n v="53363"/>
    <x v="6"/>
  </r>
  <r>
    <s v="2025-01-06"/>
    <s v="LinkedIn"/>
    <n v="9980"/>
    <n v="726"/>
    <n v="781868"/>
    <n v="1.1835757442432739E-2"/>
    <n v="4.0220344099003924"/>
    <n v="58709"/>
    <x v="6"/>
  </r>
  <r>
    <s v="2025-01-06"/>
    <s v="Twitter"/>
    <n v="8451"/>
    <n v="783"/>
    <n v="789536"/>
    <n v="9.7120333968305442E-3"/>
    <n v="12.407287318121019"/>
    <n v="36201"/>
    <x v="6"/>
  </r>
  <r>
    <s v="2025-01-06"/>
    <s v="YouTube"/>
    <n v="9906"/>
    <n v="1305"/>
    <n v="798137"/>
    <n v="1.0776345414383746E-2"/>
    <n v="9.1811305577864442"/>
    <n v="29715"/>
    <x v="6"/>
  </r>
  <r>
    <s v="2025-01-13"/>
    <s v="LinkedIn"/>
    <n v="7869"/>
    <n v="398"/>
    <n v="807142"/>
    <n v="9.2561160241940079E-3"/>
    <n v="15.211945357818079"/>
    <n v="25078"/>
    <x v="2"/>
  </r>
  <r>
    <s v="2025-01-13"/>
    <s v="Instagram"/>
    <n v="3247"/>
    <n v="328"/>
    <n v="810061"/>
    <n v="3.6034323341081723E-3"/>
    <n v="13.941172331466399"/>
    <n v="15105"/>
    <x v="2"/>
  </r>
  <r>
    <s v="2025-01-13"/>
    <s v="Twitter"/>
    <n v="8088"/>
    <n v="742"/>
    <n v="817407"/>
    <n v="8.9869550909155421E-3"/>
    <n v="14.664542877660701"/>
    <n v="39312"/>
    <x v="2"/>
  </r>
  <r>
    <s v="2025-01-13"/>
    <s v="YouTube"/>
    <n v="1078"/>
    <n v="77"/>
    <n v="818408"/>
    <n v="1.2231063234963489E-3"/>
    <n v="18.236747441373989"/>
    <n v="12839"/>
    <x v="2"/>
  </r>
  <r>
    <s v="2025-01-20"/>
    <s v="Twitter"/>
    <n v="9080"/>
    <n v="562"/>
    <n v="826926"/>
    <n v="1.0300800797169276E-2"/>
    <n v="7.1083748727213809"/>
    <n v="13384"/>
    <x v="2"/>
  </r>
  <r>
    <s v="2025-01-20"/>
    <s v="YouTube"/>
    <n v="8340"/>
    <n v="686"/>
    <n v="846217"/>
    <n v="9.0449612806171465E-3"/>
    <n v="7.201344336027284"/>
    <n v="23493"/>
    <x v="2"/>
  </r>
  <r>
    <s v="2025-01-27"/>
    <s v="LinkedIn"/>
    <n v="8083"/>
    <n v="823"/>
    <n v="853477"/>
    <n v="8.5063803711172073E-3"/>
    <n v="4.6300017457998282"/>
    <n v="27069"/>
    <x v="2"/>
  </r>
  <r>
    <s v="2025-01-27"/>
    <s v="Twitter"/>
    <n v="7230"/>
    <n v="869"/>
    <n v="859838"/>
    <n v="7.397905186791E-3"/>
    <n v="7.0117859410726204"/>
    <n v="56907"/>
    <x v="2"/>
  </r>
  <r>
    <s v="2025-01-27"/>
    <s v="Instagram"/>
    <n v="4271"/>
    <n v="628"/>
    <n v="868909"/>
    <n v="4.1926139561219876E-3"/>
    <n v="11.124410036033691"/>
    <n v="47051"/>
    <x v="2"/>
  </r>
  <r>
    <s v="2025-02-03"/>
    <s v="YouTube"/>
    <n v="4456"/>
    <n v="651"/>
    <n v="872714"/>
    <n v="4.3599621410908961E-3"/>
    <n v="9.5052903929580594"/>
    <n v="17736"/>
    <x v="7"/>
  </r>
  <r>
    <s v="2025-02-03"/>
    <s v="Twitter"/>
    <n v="8788"/>
    <n v="660"/>
    <n v="880842"/>
    <n v="9.2275345635199051E-3"/>
    <n v="3.7175793161543158"/>
    <n v="17710"/>
    <x v="7"/>
  </r>
  <r>
    <s v="2025-02-10"/>
    <s v="LinkedIn"/>
    <n v="3711"/>
    <n v="291"/>
    <n v="900862"/>
    <n v="3.7963639269943676E-3"/>
    <n v="14.24879726306582"/>
    <n v="55603"/>
    <x v="7"/>
  </r>
  <r>
    <s v="2025-02-10"/>
    <s v="Twitter"/>
    <n v="1147"/>
    <n v="127"/>
    <n v="904407"/>
    <n v="1.1278108196862695E-3"/>
    <n v="1.3997016829812241"/>
    <n v="25261"/>
    <x v="7"/>
  </r>
  <r>
    <s v="2025-02-17"/>
    <s v="Twitter"/>
    <n v="1365"/>
    <n v="75"/>
    <n v="912374"/>
    <n v="1.4138938637006315E-3"/>
    <n v="9.2688963078737441"/>
    <n v="19067"/>
    <x v="7"/>
  </r>
  <r>
    <s v="2025-02-17"/>
    <s v="LinkedIn"/>
    <n v="5531"/>
    <n v="430"/>
    <n v="917475"/>
    <n v="5.5598245183792472E-3"/>
    <n v="2.7289026948963189"/>
    <n v="47481"/>
    <x v="7"/>
  </r>
  <r>
    <s v="2025-02-17"/>
    <s v="Instagram"/>
    <n v="6330"/>
    <n v="891"/>
    <n v="922914"/>
    <n v="5.8932901657142486E-3"/>
    <n v="14.789893749580139"/>
    <n v="37037"/>
    <x v="7"/>
  </r>
  <r>
    <s v="2025-02-24"/>
    <s v="Instagram"/>
    <n v="9754"/>
    <n v="629"/>
    <n v="938068"/>
    <n v="9.7274398018054129E-3"/>
    <n v="3.4123325814333292"/>
    <n v="19435"/>
    <x v="7"/>
  </r>
  <r>
    <s v="2025-02-24"/>
    <s v="YouTube"/>
    <n v="9964"/>
    <n v="985"/>
    <n v="947047"/>
    <n v="9.4810500429228957E-3"/>
    <n v="1.9837452629066989"/>
    <n v="47766"/>
    <x v="7"/>
  </r>
  <r>
    <s v="2025-03-03"/>
    <s v="YouTube"/>
    <n v="7511"/>
    <n v="880"/>
    <n v="966020"/>
    <n v="6.8642471170369144E-3"/>
    <n v="4.6083932009689246"/>
    <n v="29675"/>
    <x v="8"/>
  </r>
  <r>
    <s v="2025-03-03"/>
    <s v="LinkedIn"/>
    <n v="8504"/>
    <n v="1072"/>
    <n v="973452"/>
    <n v="7.6346856342171983E-3"/>
    <n v="6.5651927367759271"/>
    <n v="18461"/>
    <x v="8"/>
  </r>
  <r>
    <s v="2025-03-03"/>
    <s v="Twitter"/>
    <n v="2246"/>
    <n v="165"/>
    <n v="975533"/>
    <n v="2.1331928289458173E-3"/>
    <n v="2.9062061457685191"/>
    <n v="27015"/>
    <x v="8"/>
  </r>
  <r>
    <s v="2025-03-10"/>
    <s v="Twitter"/>
    <n v="9551"/>
    <n v="828"/>
    <n v="988501"/>
    <n v="8.8244726105487E-3"/>
    <n v="1.525036393488727"/>
    <n v="38047"/>
    <x v="8"/>
  </r>
  <r>
    <s v="2025-03-10"/>
    <s v="Instagram"/>
    <n v="3376"/>
    <n v="382"/>
    <n v="991495"/>
    <n v="3.0196823988018094E-3"/>
    <n v="3.8694093263203548"/>
    <n v="44782"/>
    <x v="8"/>
  </r>
  <r>
    <s v="2025-03-10"/>
    <s v="YouTube"/>
    <n v="4009"/>
    <n v="454"/>
    <n v="995050"/>
    <n v="3.5726847897090599E-3"/>
    <n v="2.1106477061454201"/>
    <n v="19833"/>
    <x v="8"/>
  </r>
  <r>
    <s v="2025-03-10"/>
    <s v="LinkedIn"/>
    <n v="2827"/>
    <n v="292"/>
    <n v="997585"/>
    <n v="2.5411368454818384E-3"/>
    <n v="2.4004972007397871"/>
    <n v="17896"/>
    <x v="8"/>
  </r>
  <r>
    <s v="2025-03-17"/>
    <s v="LinkedIn"/>
    <n v="7979"/>
    <n v="470"/>
    <n v="1005094"/>
    <n v="7.4709430162750948E-3"/>
    <n v="10.43086517280971"/>
    <n v="42972"/>
    <x v="8"/>
  </r>
  <r>
    <s v="2025-03-17"/>
    <s v="Instagram"/>
    <n v="9569"/>
    <n v="1277"/>
    <n v="1013386"/>
    <n v="8.1824694637581338E-3"/>
    <n v="12.45517502708741"/>
    <n v="59733"/>
    <x v="8"/>
  </r>
  <r>
    <s v="2025-03-24"/>
    <s v="LinkedIn"/>
    <n v="9561"/>
    <n v="517"/>
    <n v="1034649"/>
    <n v="8.741128633961856E-3"/>
    <n v="6.4086467971263694"/>
    <n v="15347"/>
    <x v="8"/>
  </r>
  <r>
    <s v="2025-03-24"/>
    <s v="YouTube"/>
    <n v="4747"/>
    <n v="558"/>
    <n v="1041686"/>
    <n v="4.021365363458854E-3"/>
    <n v="5.7680529449373434"/>
    <n v="12643"/>
    <x v="8"/>
  </r>
  <r>
    <s v="2025-03-31"/>
    <s v="Twitter"/>
    <n v="6978"/>
    <n v="706"/>
    <n v="1057293"/>
    <n v="5.9321304501212058E-3"/>
    <n v="5.057443868445171"/>
    <n v="28681"/>
    <x v="8"/>
  </r>
  <r>
    <s v="2025-03-31"/>
    <s v="Instagram"/>
    <n v="6607"/>
    <n v="479"/>
    <n v="1063421"/>
    <n v="5.7625343114345116E-3"/>
    <n v="5.5892257158735816"/>
    <n v="48328"/>
    <x v="8"/>
  </r>
  <r>
    <s v="2025-03-31"/>
    <s v="YouTube"/>
    <n v="1769"/>
    <n v="202"/>
    <n v="1064988"/>
    <n v="1.4713780812553757E-3"/>
    <n v="6.5457075572682513"/>
    <n v="25892"/>
    <x v="8"/>
  </r>
  <r>
    <s v="2025-03-31"/>
    <s v="LinkedIn"/>
    <n v="1780"/>
    <n v="120"/>
    <n v="1066648"/>
    <n v="1.55627723485161E-3"/>
    <n v="13.86474263299608"/>
    <n v="57299"/>
    <x v="8"/>
  </r>
  <r>
    <s v="2025-04-07"/>
    <s v="YouTube"/>
    <n v="7303"/>
    <n v="869"/>
    <n v="1073082"/>
    <n v="5.9958139266151145E-3"/>
    <n v="8.1237966902808925"/>
    <n v="27073"/>
    <x v="2"/>
  </r>
  <r>
    <s v="2025-04-07"/>
    <s v="LinkedIn"/>
    <n v="4983"/>
    <n v="441"/>
    <n v="1077624"/>
    <n v="4.2148281775461569E-3"/>
    <n v="6.8954477628560609"/>
    <n v="46768"/>
    <x v="2"/>
  </r>
  <r>
    <s v="2025-04-07"/>
    <s v="Twitter"/>
    <n v="9714"/>
    <n v="1395"/>
    <n v="1085943"/>
    <n v="7.6606230713766746E-3"/>
    <n v="5.2243073531483697"/>
    <n v="40682"/>
    <x v="2"/>
  </r>
  <r>
    <s v="2025-04-07"/>
    <s v="Instagram"/>
    <n v="1521"/>
    <n v="96"/>
    <n v="1087368"/>
    <n v="1.3105038956452645E-3"/>
    <n v="12.709772588488899"/>
    <n v="42262"/>
    <x v="2"/>
  </r>
  <r>
    <s v="2025-04-14"/>
    <s v="LinkedIn"/>
    <n v="8569"/>
    <n v="720"/>
    <n v="1095217"/>
    <n v="7.1666162961312686E-3"/>
    <n v="9.589697749395782"/>
    <n v="41358"/>
    <x v="2"/>
  </r>
  <r>
    <s v="2025-04-21"/>
    <s v="Instagram"/>
    <n v="5941"/>
    <n v="450"/>
    <n v="1117854"/>
    <n v="4.9120904876665469E-3"/>
    <n v="12.414411899944"/>
    <n v="58330"/>
    <x v="2"/>
  </r>
  <r>
    <s v="2025-04-21"/>
    <s v="Twitter"/>
    <n v="8128"/>
    <n v="1070"/>
    <n v="1131337"/>
    <n v="6.2386362330587612E-3"/>
    <n v="8.1114645768679008"/>
    <n v="21918"/>
    <x v="2"/>
  </r>
  <r>
    <s v="2025-04-28"/>
    <s v="LinkedIn"/>
    <n v="1685"/>
    <n v="173"/>
    <n v="1135945"/>
    <n v="1.331050358952238E-3"/>
    <n v="8.7776256772995165"/>
    <n v="49110"/>
    <x v="2"/>
  </r>
  <r>
    <s v="2025-04-28"/>
    <s v="Twitter"/>
    <n v="3160"/>
    <n v="234"/>
    <n v="1138871"/>
    <n v="2.5692110871204906E-3"/>
    <n v="5.6959041015180816"/>
    <n v="21929"/>
    <x v="2"/>
  </r>
  <r>
    <s v="2025-05-05"/>
    <s v="LinkedIn"/>
    <n v="1038"/>
    <n v="145"/>
    <n v="1152775"/>
    <n v="7.7465246904209403E-4"/>
    <n v="11.093752033137431"/>
    <n v="55951"/>
    <x v="2"/>
  </r>
  <r>
    <s v="2025-05-05"/>
    <s v="YouTube"/>
    <n v="5875"/>
    <n v="665"/>
    <n v="1157985"/>
    <n v="4.4991947218659999E-3"/>
    <n v="6.9871371390821126"/>
    <n v="32669"/>
    <x v="2"/>
  </r>
  <r>
    <s v="2025-05-05"/>
    <s v="Instagram"/>
    <n v="8697"/>
    <n v="738"/>
    <n v="1168011"/>
    <n v="6.8141481544266276E-3"/>
    <n v="3.8777032065622672"/>
    <n v="30644"/>
    <x v="2"/>
  </r>
  <r>
    <s v="2025-05-12"/>
    <s v="Instagram"/>
    <n v="3196"/>
    <n v="391"/>
    <n v="1170816"/>
    <n v="2.3957650049196456E-3"/>
    <n v="7.2439221876024931"/>
    <n v="28745"/>
    <x v="2"/>
  </r>
  <r>
    <s v="2025-05-12"/>
    <s v="LinkedIn"/>
    <n v="8165"/>
    <n v="1140"/>
    <n v="1177841"/>
    <n v="5.9643024822535473E-3"/>
    <n v="9.095964565675672"/>
    <n v="38228"/>
    <x v="2"/>
  </r>
  <r>
    <s v="2025-05-12"/>
    <s v="Twitter"/>
    <n v="8527"/>
    <n v="1091"/>
    <n v="1186398"/>
    <n v="6.267711172810473E-3"/>
    <n v="1.676081719625286"/>
    <n v="41703"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  <r>
    <m/>
    <m/>
    <m/>
    <m/>
    <m/>
    <m/>
    <m/>
    <m/>
    <x v="2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n v="4138"/>
    <n v="361"/>
    <n v="103777"/>
    <n v="3.6395347716738774E-2"/>
    <n v="56.637790647253247"/>
    <n v="23944"/>
    <n v="3777"/>
  </r>
  <r>
    <x v="0"/>
    <x v="1"/>
    <n v="8693"/>
    <n v="1261"/>
    <n v="111209"/>
    <n v="6.6829123542159363E-2"/>
    <n v="69.475492091467416"/>
    <n v="29873"/>
    <n v="7432"/>
  </r>
  <r>
    <x v="0"/>
    <x v="2"/>
    <n v="9264"/>
    <n v="1141"/>
    <n v="119332"/>
    <n v="6.8070592967519189E-2"/>
    <n v="92.312204605638044"/>
    <n v="50372"/>
    <n v="8123"/>
  </r>
  <r>
    <x v="1"/>
    <x v="0"/>
    <n v="7721"/>
    <n v="506"/>
    <n v="134418"/>
    <n v="5.3675846984778827E-2"/>
    <n v="35.577824398518047"/>
    <n v="25379"/>
    <n v="7215"/>
  </r>
  <r>
    <x v="1"/>
    <x v="2"/>
    <n v="8002"/>
    <n v="524"/>
    <n v="141896"/>
    <n v="5.270056943113266E-2"/>
    <n v="52.064892597395271"/>
    <n v="46751"/>
    <n v="7478"/>
  </r>
  <r>
    <x v="1"/>
    <x v="1"/>
    <n v="5225"/>
    <n v="291"/>
    <n v="146830"/>
    <n v="3.3603487025812166E-2"/>
    <n v="19.551862698358651"/>
    <n v="44546"/>
    <n v="4934"/>
  </r>
  <r>
    <x v="2"/>
    <x v="0"/>
    <n v="8373"/>
    <n v="921"/>
    <n v="157717"/>
    <n v="4.7249186834646864E-2"/>
    <n v="12.2263294381709"/>
    <n v="15110"/>
    <n v="7452"/>
  </r>
  <r>
    <x v="2"/>
    <x v="1"/>
    <n v="6907"/>
    <n v="834"/>
    <n v="163790"/>
    <n v="3.7077965687770928E-2"/>
    <n v="54.158984064961238"/>
    <n v="22087"/>
    <n v="6073"/>
  </r>
  <r>
    <x v="2"/>
    <x v="3"/>
    <n v="7097"/>
    <n v="369"/>
    <n v="170518"/>
    <n v="3.9456245088495059E-2"/>
    <n v="9.2506362964613711"/>
    <n v="33762"/>
    <n v="6728"/>
  </r>
  <r>
    <x v="3"/>
    <x v="1"/>
    <n v="9984"/>
    <n v="1330"/>
    <n v="184850"/>
    <n v="4.6816337571003515E-2"/>
    <n v="57.524479307546663"/>
    <n v="44947"/>
    <n v="8654"/>
  </r>
  <r>
    <x v="3"/>
    <x v="0"/>
    <n v="5259"/>
    <n v="374"/>
    <n v="189735"/>
    <n v="2.5746435818378266E-2"/>
    <n v="14.827522597306769"/>
    <n v="19596"/>
    <n v="4885"/>
  </r>
  <r>
    <x v="3"/>
    <x v="2"/>
    <n v="9286"/>
    <n v="633"/>
    <n v="198388"/>
    <n v="4.3616549388067825E-2"/>
    <n v="5.4343004617214756"/>
    <n v="48019"/>
    <n v="8653"/>
  </r>
  <r>
    <x v="4"/>
    <x v="3"/>
    <n v="5917"/>
    <n v="475"/>
    <n v="210260"/>
    <n v="2.5882241034909159E-2"/>
    <n v="17.894035955483691"/>
    <n v="28313"/>
    <n v="5442"/>
  </r>
  <r>
    <x v="4"/>
    <x v="1"/>
    <n v="9429"/>
    <n v="966"/>
    <n v="218723"/>
    <n v="3.8692775794040866E-2"/>
    <n v="7.6914636320825887"/>
    <n v="57639"/>
    <n v="8463"/>
  </r>
  <r>
    <x v="4"/>
    <x v="0"/>
    <n v="3530"/>
    <n v="328"/>
    <n v="221925"/>
    <n v="1.4428297848372199E-2"/>
    <n v="12.8372197814577"/>
    <n v="11013"/>
    <n v="3202"/>
  </r>
  <r>
    <x v="5"/>
    <x v="1"/>
    <n v="8045"/>
    <n v="894"/>
    <n v="231802"/>
    <n v="3.084960440375838E-2"/>
    <n v="47.634187798207087"/>
    <n v="33705"/>
    <n v="7151"/>
  </r>
  <r>
    <x v="5"/>
    <x v="3"/>
    <n v="2048"/>
    <n v="130"/>
    <n v="233720"/>
    <n v="8.2064008214958063E-3"/>
    <n v="39.284614068115687"/>
    <n v="11828"/>
    <n v="1918"/>
  </r>
  <r>
    <x v="6"/>
    <x v="0"/>
    <n v="3964"/>
    <n v="378"/>
    <n v="246766"/>
    <n v="1.453198576789347E-2"/>
    <n v="13.6355899921383"/>
    <n v="23109"/>
    <n v="3586"/>
  </r>
  <r>
    <x v="6"/>
    <x v="1"/>
    <n v="8137"/>
    <n v="1045"/>
    <n v="253858"/>
    <n v="2.7936878097203948E-2"/>
    <n v="20.47246886054408"/>
    <n v="12023"/>
    <n v="7092"/>
  </r>
  <r>
    <x v="6"/>
    <x v="2"/>
    <n v="1963"/>
    <n v="137"/>
    <n v="255684"/>
    <n v="7.1416279469970747E-3"/>
    <n v="11.2083665774941"/>
    <n v="24537"/>
    <n v="1826"/>
  </r>
  <r>
    <x v="7"/>
    <x v="3"/>
    <n v="8340"/>
    <n v="911"/>
    <n v="264494"/>
    <n v="2.8087593669421613E-2"/>
    <n v="37.302925586213682"/>
    <n v="48659"/>
    <n v="7429"/>
  </r>
  <r>
    <x v="7"/>
    <x v="1"/>
    <n v="8179"/>
    <n v="446"/>
    <n v="272227"/>
    <n v="2.8406440213498294E-2"/>
    <n v="41.82171496581897"/>
    <n v="43848"/>
    <n v="7733"/>
  </r>
  <r>
    <x v="7"/>
    <x v="2"/>
    <n v="9734"/>
    <n v="652"/>
    <n v="289283"/>
    <n v="3.1394862470314533E-2"/>
    <n v="49.647922622483861"/>
    <n v="25379"/>
    <n v="9082"/>
  </r>
  <r>
    <x v="8"/>
    <x v="3"/>
    <n v="1845"/>
    <n v="104"/>
    <n v="291024"/>
    <n v="5.9823244818296775E-3"/>
    <n v="28.158158777282971"/>
    <n v="37766"/>
    <n v="1741"/>
  </r>
  <r>
    <x v="8"/>
    <x v="2"/>
    <n v="4036"/>
    <n v="591"/>
    <n v="300265"/>
    <n v="1.1473198674504187E-2"/>
    <n v="44.219272975538267"/>
    <n v="12563"/>
    <n v="3445"/>
  </r>
  <r>
    <x v="8"/>
    <x v="1"/>
    <n v="6947"/>
    <n v="908"/>
    <n v="306304"/>
    <n v="1.9715707271207691E-2"/>
    <n v="14.117673944839121"/>
    <n v="46060"/>
    <n v="6039"/>
  </r>
  <r>
    <x v="9"/>
    <x v="0"/>
    <n v="3494"/>
    <n v="281"/>
    <n v="309517"/>
    <n v="1.0380689913639638E-2"/>
    <n v="27.765518533715429"/>
    <n v="39197"/>
    <n v="3213"/>
  </r>
  <r>
    <x v="9"/>
    <x v="1"/>
    <n v="3719"/>
    <n v="222"/>
    <n v="313014"/>
    <n v="1.1172024254506188E-2"/>
    <n v="21.669318305251519"/>
    <n v="13586"/>
    <n v="3497"/>
  </r>
  <r>
    <x v="9"/>
    <x v="2"/>
    <n v="2884"/>
    <n v="341"/>
    <n v="315557"/>
    <n v="8.058765928184131E-3"/>
    <n v="46.999749649033298"/>
    <n v="26087"/>
    <n v="2543"/>
  </r>
  <r>
    <x v="9"/>
    <x v="3"/>
    <n v="5349"/>
    <n v="502"/>
    <n v="320404"/>
    <n v="1.5127776182569505E-2"/>
    <n v="5.2152906954969351"/>
    <n v="58868"/>
    <n v="4847"/>
  </r>
  <r>
    <x v="10"/>
    <x v="1"/>
    <n v="6179"/>
    <n v="384"/>
    <n v="326199"/>
    <n v="1.7765229200580015E-2"/>
    <n v="14.71218489327067"/>
    <n v="33225"/>
    <n v="5795"/>
  </r>
  <r>
    <x v="10"/>
    <x v="0"/>
    <n v="7610"/>
    <n v="757"/>
    <n v="333052"/>
    <n v="2.0576366453286574E-2"/>
    <n v="44.450416151231643"/>
    <n v="39750"/>
    <n v="6853"/>
  </r>
  <r>
    <x v="10"/>
    <x v="2"/>
    <n v="7430"/>
    <n v="397"/>
    <n v="340085"/>
    <n v="2.0680124086625402E-2"/>
    <n v="28.065042562888689"/>
    <n v="16643"/>
    <n v="7033"/>
  </r>
  <r>
    <x v="11"/>
    <x v="0"/>
    <n v="7488"/>
    <n v="568"/>
    <n v="354010"/>
    <n v="1.9547470410440384E-2"/>
    <n v="13.47730290104799"/>
    <n v="46727"/>
    <n v="6920"/>
  </r>
  <r>
    <x v="11"/>
    <x v="2"/>
    <n v="5737"/>
    <n v="666"/>
    <n v="359081"/>
    <n v="1.4122161852061233E-2"/>
    <n v="4.6034181702735593"/>
    <n v="21005"/>
    <n v="5071"/>
  </r>
  <r>
    <x v="12"/>
    <x v="3"/>
    <n v="1689"/>
    <n v="176"/>
    <n v="371865"/>
    <n v="4.068680838476329E-3"/>
    <n v="38.012181840183942"/>
    <n v="26029"/>
    <n v="1513"/>
  </r>
  <r>
    <x v="12"/>
    <x v="1"/>
    <n v="6175"/>
    <n v="422"/>
    <n v="377618"/>
    <n v="1.523497290913039E-2"/>
    <n v="37.86101298137271"/>
    <n v="59745"/>
    <n v="5753"/>
  </r>
  <r>
    <x v="12"/>
    <x v="0"/>
    <n v="9648"/>
    <n v="1417"/>
    <n v="385849"/>
    <n v="2.1332179168534842E-2"/>
    <n v="3.6633501706626168"/>
    <n v="24226"/>
    <n v="8231"/>
  </r>
  <r>
    <x v="12"/>
    <x v="2"/>
    <n v="6078"/>
    <n v="775"/>
    <n v="391152"/>
    <n v="1.3557389454738823E-2"/>
    <n v="37.760512537325639"/>
    <n v="38731"/>
    <n v="5303"/>
  </r>
  <r>
    <x v="13"/>
    <x v="0"/>
    <n v="6448"/>
    <n v="928"/>
    <n v="396672"/>
    <n v="1.3915779283639884E-2"/>
    <n v="30.118586640851881"/>
    <n v="53922"/>
    <n v="5520"/>
  </r>
  <r>
    <x v="13"/>
    <x v="1"/>
    <n v="7406"/>
    <n v="813"/>
    <n v="405141"/>
    <n v="1.6273346810122897E-2"/>
    <n v="24.457411123534769"/>
    <n v="13390"/>
    <n v="6593"/>
  </r>
  <r>
    <x v="13"/>
    <x v="3"/>
    <n v="9591"/>
    <n v="1363"/>
    <n v="413369"/>
    <n v="1.9904734026983156E-2"/>
    <n v="10.494255737609739"/>
    <n v="15997"/>
    <n v="8228"/>
  </r>
  <r>
    <x v="14"/>
    <x v="0"/>
    <n v="7907"/>
    <n v="465"/>
    <n v="420811"/>
    <n v="1.76848989213685E-2"/>
    <n v="33.257448118038738"/>
    <n v="22693"/>
    <n v="7442"/>
  </r>
  <r>
    <x v="14"/>
    <x v="2"/>
    <n v="9800"/>
    <n v="682"/>
    <n v="429929"/>
    <n v="2.1208152974095722E-2"/>
    <n v="6.2966210699906267"/>
    <n v="59815"/>
    <n v="9118"/>
  </r>
  <r>
    <x v="14"/>
    <x v="3"/>
    <n v="6671"/>
    <n v="550"/>
    <n v="438545"/>
    <n v="1.3957518612685129E-2"/>
    <n v="17.750287883797562"/>
    <n v="10541"/>
    <n v="6121"/>
  </r>
  <r>
    <x v="15"/>
    <x v="2"/>
    <n v="7928"/>
    <n v="704"/>
    <n v="445769"/>
    <n v="1.6205702953772022E-2"/>
    <n v="11.194362999670229"/>
    <n v="31817"/>
    <n v="7224"/>
  </r>
  <r>
    <x v="15"/>
    <x v="3"/>
    <n v="2382"/>
    <n v="183"/>
    <n v="447968"/>
    <n v="4.9088327737695546E-3"/>
    <n v="4.7335970426459033"/>
    <n v="47861"/>
    <n v="2199"/>
  </r>
  <r>
    <x v="15"/>
    <x v="1"/>
    <n v="4292"/>
    <n v="367"/>
    <n v="453977"/>
    <n v="8.6458124530537899E-3"/>
    <n v="3.5037017293827661"/>
    <n v="53934"/>
    <n v="3925"/>
  </r>
  <r>
    <x v="16"/>
    <x v="0"/>
    <n v="1419"/>
    <n v="110"/>
    <n v="455286"/>
    <n v="2.8751158612388694E-3"/>
    <n v="31.554451487636339"/>
    <n v="58831"/>
    <n v="1309"/>
  </r>
  <r>
    <x v="16"/>
    <x v="1"/>
    <n v="5517"/>
    <n v="575"/>
    <n v="460228"/>
    <n v="1.07381558705685E-2"/>
    <n v="29.45844233727631"/>
    <n v="20258"/>
    <n v="4942"/>
  </r>
  <r>
    <x v="17"/>
    <x v="0"/>
    <n v="8870"/>
    <n v="509"/>
    <n v="480320"/>
    <n v="1.7407145236508995E-2"/>
    <n v="25.077864756828781"/>
    <n v="15469"/>
    <n v="8361"/>
  </r>
  <r>
    <x v="17"/>
    <x v="1"/>
    <n v="6693"/>
    <n v="995"/>
    <n v="486018"/>
    <n v="1.1723845618886543E-2"/>
    <n v="23.761877132122681"/>
    <n v="38854"/>
    <n v="5698"/>
  </r>
  <r>
    <x v="18"/>
    <x v="3"/>
    <n v="2549"/>
    <n v="128"/>
    <n v="492814"/>
    <n v="4.9126039438814641E-3"/>
    <n v="12.734216154573531"/>
    <n v="43937"/>
    <n v="2421"/>
  </r>
  <r>
    <x v="18"/>
    <x v="2"/>
    <n v="7140"/>
    <n v="939"/>
    <n v="499015"/>
    <n v="1.2426480165926877E-2"/>
    <n v="25.120888149654821"/>
    <n v="43598"/>
    <n v="6201"/>
  </r>
  <r>
    <x v="18"/>
    <x v="0"/>
    <n v="5481"/>
    <n v="673"/>
    <n v="507970"/>
    <n v="9.4651258932614123E-3"/>
    <n v="13.08758391243577"/>
    <n v="29194"/>
    <n v="4808"/>
  </r>
  <r>
    <x v="19"/>
    <x v="1"/>
    <n v="8898"/>
    <n v="1131"/>
    <n v="515737"/>
    <n v="1.5060001512398761E-2"/>
    <n v="2.1877429775253669"/>
    <n v="35051"/>
    <n v="7767"/>
  </r>
  <r>
    <x v="19"/>
    <x v="2"/>
    <n v="7548"/>
    <n v="433"/>
    <n v="522852"/>
    <n v="1.3608057347012157E-2"/>
    <n v="8.3562843787534522"/>
    <n v="37386"/>
    <n v="7115"/>
  </r>
  <r>
    <x v="20"/>
    <x v="0"/>
    <n v="8758"/>
    <n v="1193"/>
    <n v="538906"/>
    <n v="1.4037698596786824E-2"/>
    <n v="3.4213758985797149"/>
    <n v="26184"/>
    <n v="7565"/>
  </r>
  <r>
    <x v="20"/>
    <x v="2"/>
    <n v="7793"/>
    <n v="875"/>
    <n v="545824"/>
    <n v="1.267441519610717E-2"/>
    <n v="5.5136820660139527"/>
    <n v="43787"/>
    <n v="6918"/>
  </r>
  <r>
    <x v="21"/>
    <x v="2"/>
    <n v="7007"/>
    <n v="568"/>
    <n v="568671"/>
    <n v="1.1322891443382905E-2"/>
    <n v="11.50507059442103"/>
    <n v="22448"/>
    <n v="6439"/>
  </r>
  <r>
    <x v="21"/>
    <x v="3"/>
    <n v="7356"/>
    <n v="904"/>
    <n v="581126"/>
    <n v="1.1102583604932494E-2"/>
    <n v="17.560907617280929"/>
    <n v="44051"/>
    <n v="6452"/>
  </r>
  <r>
    <x v="22"/>
    <x v="1"/>
    <n v="8380"/>
    <n v="1162"/>
    <n v="596704"/>
    <n v="1.2096449831072022E-2"/>
    <n v="18.05853488496809"/>
    <n v="40447"/>
    <n v="7218"/>
  </r>
  <r>
    <x v="22"/>
    <x v="2"/>
    <n v="3385"/>
    <n v="329"/>
    <n v="599760"/>
    <n v="5.0953714819261036E-3"/>
    <n v="17.61788048552755"/>
    <n v="28394"/>
    <n v="3056"/>
  </r>
  <r>
    <x v="22"/>
    <x v="3"/>
    <n v="5268"/>
    <n v="326"/>
    <n v="604702"/>
    <n v="8.1726205635172366E-3"/>
    <n v="23.435841125050029"/>
    <n v="44501"/>
    <n v="4942"/>
  </r>
  <r>
    <x v="23"/>
    <x v="1"/>
    <n v="1163"/>
    <n v="146"/>
    <n v="607188"/>
    <n v="1.6749342872388782E-3"/>
    <n v="21.77776899411715"/>
    <n v="28509"/>
    <n v="1017"/>
  </r>
  <r>
    <x v="23"/>
    <x v="3"/>
    <n v="5592"/>
    <n v="710"/>
    <n v="620702"/>
    <n v="7.8652880126050834E-3"/>
    <n v="9.07118069540617"/>
    <n v="24472"/>
    <n v="4882"/>
  </r>
  <r>
    <x v="23"/>
    <x v="2"/>
    <n v="5795"/>
    <n v="575"/>
    <n v="625922"/>
    <n v="8.3396972785746461E-3"/>
    <n v="3.0908004511744269"/>
    <n v="55657"/>
    <n v="5220"/>
  </r>
  <r>
    <x v="24"/>
    <x v="0"/>
    <n v="5798"/>
    <n v="592"/>
    <n v="631128"/>
    <n v="8.2487229214992831E-3"/>
    <n v="1.6774727155188811"/>
    <n v="13471"/>
    <n v="5206"/>
  </r>
  <r>
    <x v="24"/>
    <x v="1"/>
    <n v="7036"/>
    <n v="652"/>
    <n v="637512"/>
    <n v="1.0013929149568949E-2"/>
    <n v="3.5705994553828009"/>
    <n v="51796"/>
    <n v="6384"/>
  </r>
  <r>
    <x v="24"/>
    <x v="3"/>
    <n v="3355"/>
    <n v="176"/>
    <n v="640691"/>
    <n v="4.9618302738761748E-3"/>
    <n v="12.426427091999111"/>
    <n v="40268"/>
    <n v="3179"/>
  </r>
  <r>
    <x v="25"/>
    <x v="0"/>
    <n v="8961"/>
    <n v="476"/>
    <n v="655645"/>
    <n v="1.2941454598143812E-2"/>
    <n v="15.458517947974901"/>
    <n v="44865"/>
    <n v="8485"/>
  </r>
  <r>
    <x v="25"/>
    <x v="3"/>
    <n v="9737"/>
    <n v="792"/>
    <n v="670642"/>
    <n v="1.3337965710468476E-2"/>
    <n v="5.301785453341723"/>
    <n v="56698"/>
    <n v="8945"/>
  </r>
  <r>
    <x v="25"/>
    <x v="2"/>
    <n v="5719"/>
    <n v="576"/>
    <n v="675785"/>
    <n v="7.6104086358827145E-3"/>
    <n v="10.21656296011305"/>
    <n v="38272"/>
    <n v="5143"/>
  </r>
  <r>
    <x v="26"/>
    <x v="0"/>
    <n v="1593"/>
    <n v="224"/>
    <n v="677154"/>
    <n v="2.0216966893793729E-3"/>
    <n v="4.1495730660972248"/>
    <n v="52845"/>
    <n v="1369"/>
  </r>
  <r>
    <x v="26"/>
    <x v="3"/>
    <n v="5839"/>
    <n v="437"/>
    <n v="682556"/>
    <n v="7.9143689309009082E-3"/>
    <n v="17.44750613869045"/>
    <n v="16397"/>
    <n v="5402"/>
  </r>
  <r>
    <x v="26"/>
    <x v="2"/>
    <n v="4493"/>
    <n v="564"/>
    <n v="694115"/>
    <n v="5.660445315257558E-3"/>
    <n v="16.625487131094989"/>
    <n v="45525"/>
    <n v="3929"/>
  </r>
  <r>
    <x v="27"/>
    <x v="1"/>
    <n v="7164"/>
    <n v="522"/>
    <n v="700757"/>
    <n v="9.4783213011072308E-3"/>
    <n v="13.449169969047761"/>
    <n v="34570"/>
    <n v="6642"/>
  </r>
  <r>
    <x v="27"/>
    <x v="0"/>
    <n v="3672"/>
    <n v="211"/>
    <n v="704218"/>
    <n v="4.9146713091684675E-3"/>
    <n v="12.35057894004413"/>
    <n v="28284"/>
    <n v="3461"/>
  </r>
  <r>
    <x v="27"/>
    <x v="2"/>
    <n v="5200"/>
    <n v="410"/>
    <n v="709008"/>
    <n v="6.7559181278631555E-3"/>
    <n v="12.913394489201821"/>
    <n v="28994"/>
    <n v="4790"/>
  </r>
  <r>
    <x v="27"/>
    <x v="3"/>
    <n v="1016"/>
    <n v="67"/>
    <n v="709957"/>
    <n v="1.3367006734210664E-3"/>
    <n v="20.774215903216671"/>
    <n v="33284"/>
    <n v="949"/>
  </r>
  <r>
    <x v="28"/>
    <x v="0"/>
    <n v="4191"/>
    <n v="599"/>
    <n v="713549"/>
    <n v="5.033992059410076E-3"/>
    <n v="11.56416728213479"/>
    <n v="27833"/>
    <n v="3592"/>
  </r>
  <r>
    <x v="28"/>
    <x v="3"/>
    <n v="9616"/>
    <n v="1089"/>
    <n v="723286"/>
    <n v="1.178925072516266E-2"/>
    <n v="19.25863351426683"/>
    <n v="15017"/>
    <n v="8527"/>
  </r>
  <r>
    <x v="28"/>
    <x v="1"/>
    <n v="7272"/>
    <n v="997"/>
    <n v="729561"/>
    <n v="8.6010628309353167E-3"/>
    <n v="13.428486445958599"/>
    <n v="26370"/>
    <n v="6275"/>
  </r>
  <r>
    <x v="29"/>
    <x v="3"/>
    <n v="1571"/>
    <n v="204"/>
    <n v="730928"/>
    <n v="1.8702252479040344E-3"/>
    <n v="19.449384891535139"/>
    <n v="39252"/>
    <n v="1367"/>
  </r>
  <r>
    <x v="29"/>
    <x v="0"/>
    <n v="4631"/>
    <n v="317"/>
    <n v="735242"/>
    <n v="5.8674558852731479E-3"/>
    <n v="1.381177897889402"/>
    <n v="17999"/>
    <n v="4314"/>
  </r>
  <r>
    <x v="29"/>
    <x v="2"/>
    <n v="8177"/>
    <n v="849"/>
    <n v="748744"/>
    <n v="9.7870567243276748E-3"/>
    <n v="10.34986590877523"/>
    <n v="52963"/>
    <n v="7328"/>
  </r>
  <r>
    <x v="30"/>
    <x v="3"/>
    <n v="9433"/>
    <n v="1233"/>
    <n v="756944"/>
    <n v="1.0833033883616226E-2"/>
    <n v="11.391727789638329"/>
    <n v="12096"/>
    <n v="8200"/>
  </r>
  <r>
    <x v="30"/>
    <x v="0"/>
    <n v="4897"/>
    <n v="683"/>
    <n v="761158"/>
    <n v="5.5363012672795921E-3"/>
    <n v="15.06231294947961"/>
    <n v="58201"/>
    <n v="4214"/>
  </r>
  <r>
    <x v="30"/>
    <x v="1"/>
    <n v="3279"/>
    <n v="200"/>
    <n v="772614"/>
    <n v="3.9851724146857288E-3"/>
    <n v="5.0212654702089274"/>
    <n v="53363"/>
    <n v="3079"/>
  </r>
  <r>
    <x v="31"/>
    <x v="3"/>
    <n v="9980"/>
    <n v="726"/>
    <n v="781868"/>
    <n v="1.1835757442432739E-2"/>
    <n v="4.0220344099003924"/>
    <n v="58709"/>
    <n v="9254"/>
  </r>
  <r>
    <x v="31"/>
    <x v="1"/>
    <n v="8451"/>
    <n v="783"/>
    <n v="789536"/>
    <n v="9.7120333968305442E-3"/>
    <n v="12.407287318121019"/>
    <n v="36201"/>
    <n v="7668"/>
  </r>
  <r>
    <x v="31"/>
    <x v="2"/>
    <n v="9906"/>
    <n v="1305"/>
    <n v="798137"/>
    <n v="1.0776345414383746E-2"/>
    <n v="9.1811305577864442"/>
    <n v="29715"/>
    <n v="8601"/>
  </r>
  <r>
    <x v="32"/>
    <x v="3"/>
    <n v="7869"/>
    <n v="398"/>
    <n v="807142"/>
    <n v="9.2561160241940079E-3"/>
    <n v="15.211945357818079"/>
    <n v="25078"/>
    <n v="7471"/>
  </r>
  <r>
    <x v="32"/>
    <x v="0"/>
    <n v="3247"/>
    <n v="328"/>
    <n v="810061"/>
    <n v="3.6034323341081723E-3"/>
    <n v="13.941172331466399"/>
    <n v="15105"/>
    <n v="2919"/>
  </r>
  <r>
    <x v="32"/>
    <x v="1"/>
    <n v="8088"/>
    <n v="742"/>
    <n v="817407"/>
    <n v="8.9869550909155421E-3"/>
    <n v="14.664542877660701"/>
    <n v="39312"/>
    <n v="7346"/>
  </r>
  <r>
    <x v="32"/>
    <x v="2"/>
    <n v="1078"/>
    <n v="77"/>
    <n v="818408"/>
    <n v="1.2231063234963489E-3"/>
    <n v="18.236747441373989"/>
    <n v="12839"/>
    <n v="1001"/>
  </r>
  <r>
    <x v="33"/>
    <x v="1"/>
    <n v="9080"/>
    <n v="562"/>
    <n v="826926"/>
    <n v="1.0300800797169276E-2"/>
    <n v="7.1083748727213809"/>
    <n v="13384"/>
    <n v="8518"/>
  </r>
  <r>
    <x v="33"/>
    <x v="2"/>
    <n v="8340"/>
    <n v="686"/>
    <n v="846217"/>
    <n v="9.0449612806171465E-3"/>
    <n v="7.201344336027284"/>
    <n v="23493"/>
    <n v="7654"/>
  </r>
  <r>
    <x v="34"/>
    <x v="3"/>
    <n v="8083"/>
    <n v="823"/>
    <n v="853477"/>
    <n v="8.5063803711172073E-3"/>
    <n v="4.6300017457998282"/>
    <n v="27069"/>
    <n v="7260"/>
  </r>
  <r>
    <x v="34"/>
    <x v="1"/>
    <n v="7230"/>
    <n v="869"/>
    <n v="859838"/>
    <n v="7.397905186791E-3"/>
    <n v="7.0117859410726204"/>
    <n v="56907"/>
    <n v="6361"/>
  </r>
  <r>
    <x v="34"/>
    <x v="0"/>
    <n v="4271"/>
    <n v="628"/>
    <n v="868909"/>
    <n v="4.1926139561219876E-3"/>
    <n v="11.124410036033691"/>
    <n v="47051"/>
    <n v="3643"/>
  </r>
  <r>
    <x v="35"/>
    <x v="2"/>
    <n v="4456"/>
    <n v="651"/>
    <n v="872714"/>
    <n v="4.3599621410908961E-3"/>
    <n v="9.5052903929580594"/>
    <n v="17736"/>
    <n v="3805"/>
  </r>
  <r>
    <x v="35"/>
    <x v="1"/>
    <n v="8788"/>
    <n v="660"/>
    <n v="880842"/>
    <n v="9.2275345635199051E-3"/>
    <n v="3.7175793161543158"/>
    <n v="17710"/>
    <n v="8128"/>
  </r>
  <r>
    <x v="36"/>
    <x v="3"/>
    <n v="3711"/>
    <n v="291"/>
    <n v="900862"/>
    <n v="3.7963639269943676E-3"/>
    <n v="14.24879726306582"/>
    <n v="55603"/>
    <n v="3420"/>
  </r>
  <r>
    <x v="36"/>
    <x v="1"/>
    <n v="1147"/>
    <n v="127"/>
    <n v="904407"/>
    <n v="1.1278108196862695E-3"/>
    <n v="1.3997016829812241"/>
    <n v="25261"/>
    <n v="1020"/>
  </r>
  <r>
    <x v="37"/>
    <x v="1"/>
    <n v="1365"/>
    <n v="75"/>
    <n v="912374"/>
    <n v="1.4138938637006315E-3"/>
    <n v="9.2688963078737441"/>
    <n v="19067"/>
    <n v="1290"/>
  </r>
  <r>
    <x v="37"/>
    <x v="3"/>
    <n v="5531"/>
    <n v="430"/>
    <n v="917475"/>
    <n v="5.5598245183792472E-3"/>
    <n v="2.7289026948963189"/>
    <n v="47481"/>
    <n v="5101"/>
  </r>
  <r>
    <x v="37"/>
    <x v="0"/>
    <n v="6330"/>
    <n v="891"/>
    <n v="922914"/>
    <n v="5.8932901657142486E-3"/>
    <n v="14.789893749580139"/>
    <n v="37037"/>
    <n v="5439"/>
  </r>
  <r>
    <x v="38"/>
    <x v="0"/>
    <n v="9754"/>
    <n v="629"/>
    <n v="938068"/>
    <n v="9.7274398018054129E-3"/>
    <n v="3.4123325814333292"/>
    <n v="19435"/>
    <n v="9125"/>
  </r>
  <r>
    <x v="38"/>
    <x v="2"/>
    <n v="9964"/>
    <n v="985"/>
    <n v="947047"/>
    <n v="9.4810500429228957E-3"/>
    <n v="1.9837452629066989"/>
    <n v="47766"/>
    <n v="8979"/>
  </r>
  <r>
    <x v="39"/>
    <x v="2"/>
    <n v="7511"/>
    <n v="880"/>
    <n v="966020"/>
    <n v="6.8642471170369144E-3"/>
    <n v="4.6083932009689246"/>
    <n v="29675"/>
    <n v="6631"/>
  </r>
  <r>
    <x v="39"/>
    <x v="3"/>
    <n v="8504"/>
    <n v="1072"/>
    <n v="973452"/>
    <n v="7.6346856342171983E-3"/>
    <n v="6.5651927367759271"/>
    <n v="18461"/>
    <n v="7432"/>
  </r>
  <r>
    <x v="39"/>
    <x v="1"/>
    <n v="2246"/>
    <n v="165"/>
    <n v="975533"/>
    <n v="2.1331928289458173E-3"/>
    <n v="2.9062061457685191"/>
    <n v="27015"/>
    <n v="2081"/>
  </r>
  <r>
    <x v="40"/>
    <x v="1"/>
    <n v="9551"/>
    <n v="828"/>
    <n v="988501"/>
    <n v="8.8244726105487E-3"/>
    <n v="1.525036393488727"/>
    <n v="38047"/>
    <n v="8723"/>
  </r>
  <r>
    <x v="40"/>
    <x v="0"/>
    <n v="3376"/>
    <n v="382"/>
    <n v="991495"/>
    <n v="3.0196823988018094E-3"/>
    <n v="3.8694093263203548"/>
    <n v="44782"/>
    <n v="2994"/>
  </r>
  <r>
    <x v="40"/>
    <x v="2"/>
    <n v="4009"/>
    <n v="454"/>
    <n v="995050"/>
    <n v="3.5726847897090599E-3"/>
    <n v="2.1106477061454201"/>
    <n v="19833"/>
    <n v="3555"/>
  </r>
  <r>
    <x v="40"/>
    <x v="3"/>
    <n v="2827"/>
    <n v="292"/>
    <n v="997585"/>
    <n v="2.5411368454818384E-3"/>
    <n v="2.4004972007397871"/>
    <n v="17896"/>
    <n v="2535"/>
  </r>
  <r>
    <x v="41"/>
    <x v="3"/>
    <n v="7979"/>
    <n v="470"/>
    <n v="1005094"/>
    <n v="7.4709430162750948E-3"/>
    <n v="10.43086517280971"/>
    <n v="42972"/>
    <n v="7509"/>
  </r>
  <r>
    <x v="41"/>
    <x v="0"/>
    <n v="9569"/>
    <n v="1277"/>
    <n v="1013386"/>
    <n v="8.1824694637581338E-3"/>
    <n v="12.45517502708741"/>
    <n v="59733"/>
    <n v="8292"/>
  </r>
  <r>
    <x v="42"/>
    <x v="3"/>
    <n v="9561"/>
    <n v="517"/>
    <n v="1034649"/>
    <n v="8.741128633961856E-3"/>
    <n v="6.4086467971263694"/>
    <n v="15347"/>
    <n v="9044"/>
  </r>
  <r>
    <x v="42"/>
    <x v="2"/>
    <n v="4747"/>
    <n v="558"/>
    <n v="1041686"/>
    <n v="4.021365363458854E-3"/>
    <n v="5.7680529449373434"/>
    <n v="12643"/>
    <n v="4189"/>
  </r>
  <r>
    <x v="43"/>
    <x v="1"/>
    <n v="6978"/>
    <n v="706"/>
    <n v="1057293"/>
    <n v="5.9321304501212058E-3"/>
    <n v="5.057443868445171"/>
    <n v="28681"/>
    <n v="6272"/>
  </r>
  <r>
    <x v="43"/>
    <x v="0"/>
    <n v="6607"/>
    <n v="479"/>
    <n v="1063421"/>
    <n v="5.7625343114345116E-3"/>
    <n v="5.5892257158735816"/>
    <n v="48328"/>
    <n v="6128"/>
  </r>
  <r>
    <x v="43"/>
    <x v="2"/>
    <n v="1769"/>
    <n v="202"/>
    <n v="1064988"/>
    <n v="1.4713780812553757E-3"/>
    <n v="6.5457075572682513"/>
    <n v="25892"/>
    <n v="1567"/>
  </r>
  <r>
    <x v="43"/>
    <x v="3"/>
    <n v="1780"/>
    <n v="120"/>
    <n v="1066648"/>
    <n v="1.55627723485161E-3"/>
    <n v="13.86474263299608"/>
    <n v="57299"/>
    <n v="1660"/>
  </r>
  <r>
    <x v="44"/>
    <x v="2"/>
    <n v="7303"/>
    <n v="869"/>
    <n v="1073082"/>
    <n v="5.9958139266151145E-3"/>
    <n v="8.1237966902808925"/>
    <n v="27073"/>
    <n v="6434"/>
  </r>
  <r>
    <x v="44"/>
    <x v="3"/>
    <n v="4983"/>
    <n v="441"/>
    <n v="1077624"/>
    <n v="4.2148281775461569E-3"/>
    <n v="6.8954477628560609"/>
    <n v="46768"/>
    <n v="4542"/>
  </r>
  <r>
    <x v="44"/>
    <x v="1"/>
    <n v="9714"/>
    <n v="1395"/>
    <n v="1085943"/>
    <n v="7.6606230713766746E-3"/>
    <n v="5.2243073531483697"/>
    <n v="40682"/>
    <n v="8319"/>
  </r>
  <r>
    <x v="44"/>
    <x v="0"/>
    <n v="1521"/>
    <n v="96"/>
    <n v="1087368"/>
    <n v="1.3105038956452645E-3"/>
    <n v="12.709772588488899"/>
    <n v="42262"/>
    <n v="1425"/>
  </r>
  <r>
    <x v="45"/>
    <x v="3"/>
    <n v="8569"/>
    <n v="720"/>
    <n v="1095217"/>
    <n v="7.1666162961312686E-3"/>
    <n v="9.589697749395782"/>
    <n v="41358"/>
    <n v="7849"/>
  </r>
  <r>
    <x v="46"/>
    <x v="0"/>
    <n v="5941"/>
    <n v="450"/>
    <n v="1117854"/>
    <n v="4.9120904876665469E-3"/>
    <n v="12.414411899944"/>
    <n v="58330"/>
    <n v="5491"/>
  </r>
  <r>
    <x v="46"/>
    <x v="1"/>
    <n v="8128"/>
    <n v="1070"/>
    <n v="1131337"/>
    <n v="6.2386362330587612E-3"/>
    <n v="8.1114645768679008"/>
    <n v="21918"/>
    <n v="7058"/>
  </r>
  <r>
    <x v="47"/>
    <x v="3"/>
    <n v="1685"/>
    <n v="173"/>
    <n v="1135945"/>
    <n v="1.331050358952238E-3"/>
    <n v="8.7776256772995165"/>
    <n v="49110"/>
    <n v="1512"/>
  </r>
  <r>
    <x v="47"/>
    <x v="1"/>
    <n v="3160"/>
    <n v="234"/>
    <n v="1138871"/>
    <n v="2.5692110871204906E-3"/>
    <n v="5.6959041015180816"/>
    <n v="21929"/>
    <n v="2926"/>
  </r>
  <r>
    <x v="48"/>
    <x v="3"/>
    <n v="1038"/>
    <n v="145"/>
    <n v="1152775"/>
    <n v="7.7465246904209403E-4"/>
    <n v="11.093752033137431"/>
    <n v="55951"/>
    <n v="893"/>
  </r>
  <r>
    <x v="48"/>
    <x v="2"/>
    <n v="5875"/>
    <n v="665"/>
    <n v="1157985"/>
    <n v="4.4991947218659999E-3"/>
    <n v="6.9871371390821126"/>
    <n v="32669"/>
    <n v="5210"/>
  </r>
  <r>
    <x v="48"/>
    <x v="0"/>
    <n v="8697"/>
    <n v="738"/>
    <n v="1168011"/>
    <n v="6.8141481544266276E-3"/>
    <n v="3.8777032065622672"/>
    <n v="30644"/>
    <n v="7959"/>
  </r>
  <r>
    <x v="49"/>
    <x v="0"/>
    <n v="3196"/>
    <n v="391"/>
    <n v="1170816"/>
    <n v="2.3957650049196456E-3"/>
    <n v="7.2439221876024931"/>
    <n v="28745"/>
    <n v="2805"/>
  </r>
  <r>
    <x v="49"/>
    <x v="3"/>
    <n v="8165"/>
    <n v="1140"/>
    <n v="1177841"/>
    <n v="5.9643024822535473E-3"/>
    <n v="9.095964565675672"/>
    <n v="38228"/>
    <n v="7025"/>
  </r>
  <r>
    <x v="49"/>
    <x v="1"/>
    <n v="8527"/>
    <n v="1091"/>
    <n v="1186398"/>
    <n v="6.267711172810473E-3"/>
    <n v="1.676081719625286"/>
    <n v="41703"/>
    <n v="7436"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  <r>
    <x v="50"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73228-DF29-4148-ACFF-C4D4CBE5402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2:B46" firstHeaderRow="1" firstDataRow="1" firstDataCol="1"/>
  <pivotFields count="14">
    <pivotField showAll="0"/>
    <pivotField showAll="0"/>
    <pivotField showAll="0"/>
    <pivotField showAll="0"/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axis="axisRow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1" showAll="0"/>
    <pivotField numFmtId="1" showAll="0"/>
    <pivotField numFmtId="1" showAll="0"/>
    <pivotField dataField="1" numFmtId="3" showAll="0"/>
    <pivotField numFmtId="3" showAll="0"/>
    <pivotField numFmtId="3" showAll="0"/>
    <pivotField showAll="0"/>
    <pivotField numFmtId="4" showAll="0"/>
  </pivotFields>
  <rowFields count="2">
    <field x="4"/>
    <field x="5"/>
  </rowFields>
  <rowItems count="24">
    <i>
      <x/>
    </i>
    <i r="1">
      <x v="6"/>
    </i>
    <i>
      <x v="1"/>
    </i>
    <i r="1">
      <x v="7"/>
    </i>
    <i r="1">
      <x v="8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1"/>
    </i>
    <i>
      <x v="6"/>
    </i>
    <i r="1">
      <x v="9"/>
    </i>
    <i>
      <x v="7"/>
    </i>
    <i r="1">
      <x v="2"/>
    </i>
    <i>
      <x v="8"/>
    </i>
    <i r="1">
      <x v="10"/>
    </i>
    <i>
      <x v="9"/>
    </i>
    <i r="1">
      <x v="10"/>
    </i>
    <i>
      <x v="10"/>
    </i>
    <i r="1">
      <x/>
    </i>
    <i t="grand">
      <x/>
    </i>
  </rowItems>
  <colItems count="1">
    <i/>
  </colItems>
  <dataFields count="1">
    <dataField name="Average of Clicks" fld="9" subtotal="average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385AF-B940-4B9D-8CCA-3F537CDBC36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10" firstHeaderRow="1" firstDataRow="3" firstDataCol="1"/>
  <pivotFields count="14">
    <pivotField showAll="0"/>
    <pivotField axis="axisCol" showAll="0">
      <items count="6">
        <item x="2"/>
        <item x="1"/>
        <item x="3"/>
        <item x="0"/>
        <item h="1" x="4"/>
        <item t="default"/>
      </items>
    </pivotField>
    <pivotField showAll="0"/>
    <pivotField axis="axisRow" showAll="0">
      <items count="6">
        <item x="3"/>
        <item x="0"/>
        <item x="1"/>
        <item x="2"/>
        <item h="1" x="4"/>
        <item t="default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6" baseField="0" baseItem="0"/>
    <dataField name="Sum of Shares" fld="7" baseField="0" baseItem="0"/>
    <dataField name="Sum of Comments" fld="8" baseField="0" baseItem="0"/>
  </dataFields>
  <formats count="10">
    <format dxfId="42">
      <pivotArea type="all" dataOnly="0" outline="0" fieldPosition="0"/>
    </format>
    <format dxfId="41">
      <pivotArea outline="0" collapsedLevelsAreSubtotals="1" fieldPosition="0"/>
    </format>
    <format dxfId="40">
      <pivotArea type="origin" dataOnly="0" labelOnly="1" outline="0" fieldPosition="0"/>
    </format>
    <format dxfId="39">
      <pivotArea field="1" type="button" dataOnly="0" labelOnly="1" outline="0" axis="axisCol" fieldPosition="0"/>
    </format>
    <format dxfId="38">
      <pivotArea field="-2" type="button" dataOnly="0" labelOnly="1" outline="0" axis="axisCol" fieldPosition="1"/>
    </format>
    <format dxfId="37">
      <pivotArea type="topRight" dataOnly="0" labelOnly="1" outline="0" fieldPosition="0"/>
    </format>
    <format dxfId="36">
      <pivotArea field="3" type="button" dataOnly="0" labelOnly="1" outline="0" axis="axisRow" fieldPosition="0"/>
    </format>
    <format dxfId="35">
      <pivotArea dataOnly="0" labelOnly="1" fieldPosition="0">
        <references count="1">
          <reference field="3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DA835-1AE7-404B-BE6E-263560E34C0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/>
  <pivotFields count="14">
    <pivotField showAll="0"/>
    <pivotField showAll="0"/>
    <pivotField showAll="0"/>
    <pivotField showAll="0"/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axis="axisRow"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1" showAll="0"/>
    <pivotField numFmtId="1" showAll="0"/>
    <pivotField numFmtId="1" showAll="0"/>
    <pivotField dataField="1" numFmtId="3" showAll="0"/>
    <pivotField numFmtId="3" showAll="0"/>
    <pivotField numFmtId="3" showAll="0"/>
    <pivotField showAll="0"/>
    <pivotField numFmtId="4" showAll="0"/>
  </pivotFields>
  <rowFields count="2">
    <field x="4"/>
    <field x="5"/>
  </rowFields>
  <rowItems count="24">
    <i>
      <x/>
    </i>
    <i r="1">
      <x v="6"/>
    </i>
    <i>
      <x v="1"/>
    </i>
    <i r="1">
      <x v="7"/>
    </i>
    <i r="1">
      <x v="8"/>
    </i>
    <i>
      <x v="2"/>
    </i>
    <i r="1">
      <x v="3"/>
    </i>
    <i>
      <x v="3"/>
    </i>
    <i r="1">
      <x v="4"/>
    </i>
    <i>
      <x v="4"/>
    </i>
    <i r="1">
      <x v="5"/>
    </i>
    <i>
      <x v="5"/>
    </i>
    <i r="1">
      <x v="1"/>
    </i>
    <i>
      <x v="6"/>
    </i>
    <i r="1">
      <x v="9"/>
    </i>
    <i>
      <x v="7"/>
    </i>
    <i r="1">
      <x v="2"/>
    </i>
    <i>
      <x v="8"/>
    </i>
    <i r="1">
      <x v="10"/>
    </i>
    <i>
      <x v="9"/>
    </i>
    <i r="1">
      <x v="10"/>
    </i>
    <i>
      <x v="10"/>
    </i>
    <i r="1">
      <x/>
    </i>
    <i t="grand">
      <x/>
    </i>
  </rowItems>
  <colItems count="1">
    <i/>
  </colItems>
  <dataFields count="1">
    <dataField name="Average of Clicks" fld="9" subtotal="average" baseField="4" baseItem="0" numFmtId="3"/>
  </dataFields>
  <formats count="16">
    <format dxfId="32">
      <pivotArea collapsedLevelsAreSubtotals="1" fieldPosition="0">
        <references count="1">
          <reference field="4" count="1">
            <x v="3"/>
          </reference>
        </references>
      </pivotArea>
    </format>
    <format dxfId="31">
      <pivotArea collapsedLevelsAreSubtotals="1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30">
      <pivotArea collapsedLevelsAreSubtotals="1" fieldPosition="0">
        <references count="1">
          <reference field="4" count="1">
            <x v="4"/>
          </reference>
        </references>
      </pivotArea>
    </format>
    <format dxfId="29">
      <pivotArea collapsedLevelsAreSubtotals="1" fieldPosition="0">
        <references count="2">
          <reference field="4" count="1" selected="0">
            <x v="4"/>
          </reference>
          <reference field="5" count="1">
            <x v="5"/>
          </reference>
        </references>
      </pivotArea>
    </format>
    <format dxfId="28">
      <pivotArea collapsedLevelsAreSubtotals="1" fieldPosition="0">
        <references count="1">
          <reference field="4" count="1">
            <x v="5"/>
          </reference>
        </references>
      </pivotArea>
    </format>
    <format dxfId="27">
      <pivotArea collapsedLevelsAreSubtotals="1" fieldPosition="0">
        <references count="2">
          <reference field="4" count="1" selected="0">
            <x v="5"/>
          </reference>
          <reference field="5" count="1">
            <x v="1"/>
          </reference>
        </references>
      </pivotArea>
    </format>
    <format dxfId="26">
      <pivotArea collapsedLevelsAreSubtotals="1" fieldPosition="0">
        <references count="1">
          <reference field="4" count="1">
            <x v="6"/>
          </reference>
        </references>
      </pivotArea>
    </format>
    <format dxfId="25">
      <pivotArea collapsedLevelsAreSubtotals="1" fieldPosition="0">
        <references count="2">
          <reference field="4" count="1" selected="0">
            <x v="6"/>
          </reference>
          <reference field="5" count="1">
            <x v="9"/>
          </reference>
        </references>
      </pivotArea>
    </format>
    <format dxfId="24">
      <pivotArea collapsedLevelsAreSubtotals="1" fieldPosition="0">
        <references count="1">
          <reference field="4" count="1">
            <x v="7"/>
          </reference>
        </references>
      </pivotArea>
    </format>
    <format dxfId="23">
      <pivotArea collapsedLevelsAreSubtotals="1" fieldPosition="0">
        <references count="2">
          <reference field="4" count="1" selected="0">
            <x v="7"/>
          </reference>
          <reference field="5" count="1">
            <x v="2"/>
          </reference>
        </references>
      </pivotArea>
    </format>
    <format dxfId="22">
      <pivotArea dataOnly="0" labelOnly="1" fieldPosition="0">
        <references count="1">
          <reference field="4" count="5">
            <x v="3"/>
            <x v="4"/>
            <x v="5"/>
            <x v="6"/>
            <x v="7"/>
          </reference>
        </references>
      </pivotArea>
    </format>
    <format dxfId="21">
      <pivotArea dataOnly="0" labelOnly="1" fieldPosition="0">
        <references count="2">
          <reference field="4" count="1" selected="0">
            <x v="3"/>
          </reference>
          <reference field="5" count="1">
            <x v="4"/>
          </reference>
        </references>
      </pivotArea>
    </format>
    <format dxfId="20">
      <pivotArea dataOnly="0" labelOnly="1" fieldPosition="0">
        <references count="2">
          <reference field="4" count="1" selected="0">
            <x v="4"/>
          </reference>
          <reference field="5" count="1">
            <x v="5"/>
          </reference>
        </references>
      </pivotArea>
    </format>
    <format dxfId="19">
      <pivotArea dataOnly="0" labelOnly="1" fieldPosition="0">
        <references count="2">
          <reference field="4" count="1" selected="0">
            <x v="5"/>
          </reference>
          <reference field="5" count="1">
            <x v="1"/>
          </reference>
        </references>
      </pivotArea>
    </format>
    <format dxfId="18">
      <pivotArea dataOnly="0" labelOnly="1" fieldPosition="0">
        <references count="2">
          <reference field="4" count="1" selected="0">
            <x v="6"/>
          </reference>
          <reference field="5" count="1">
            <x v="9"/>
          </reference>
        </references>
      </pivotArea>
    </format>
    <format dxfId="17">
      <pivotArea dataOnly="0" labelOnly="1" fieldPosition="0">
        <references count="2">
          <reference field="4" count="1" selected="0">
            <x v="7"/>
          </reference>
          <reference field="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40BD2B-A3A8-47DB-8245-A856D1CDEE31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/>
    <pivotField axis="axisRow" showAll="0" sortType="descending">
      <items count="5">
        <item x="0"/>
        <item x="3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" showAll="0"/>
    <pivotField numFmtId="4" showAll="0"/>
    <pivotField numFmtId="4" showAll="0"/>
    <pivotField numFmtId="10" showAll="0"/>
    <pivotField dataField="1" numFmtId="10" showAll="0"/>
    <pivotField numFmtId="165" showAll="0"/>
  </pivotFields>
  <rowFields count="1">
    <field x="1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Average of Correct Eg_rate" fld="6" subtotal="average" baseField="1" baseItem="0" numFmtId="10"/>
  </dataFields>
  <formats count="4">
    <format dxfId="16">
      <pivotArea collapsedLevelsAreSubtotals="1" fieldPosition="0">
        <references count="1">
          <reference field="1" count="1">
            <x v="3"/>
          </reference>
        </references>
      </pivotArea>
    </format>
    <format dxfId="15">
      <pivotArea collapsedLevelsAreSubtotals="1" fieldPosition="0">
        <references count="1">
          <reference field="1" count="1">
            <x v="3"/>
          </reference>
        </references>
      </pivotArea>
    </format>
    <format dxfId="14">
      <pivotArea dataOnly="0" labelOnly="1" fieldPosition="0">
        <references count="1">
          <reference field="1" count="1">
            <x v="3"/>
          </reference>
        </references>
      </pivotArea>
    </format>
    <format dxfId="13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82FCE-80CC-4450-919D-7071413BF4BD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9"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ollower Growth Rate" fld="5" subtotal="average" baseField="1" baseItem="0" numFmtId="1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3DB199-D14B-4789-B4FA-5E27DA684E5B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9"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Ad_Spend" fld="8" subtotal="average" baseField="1" baseItem="0" numFmtId="165"/>
    <dataField name="Average of Correct Eg_rate" fld="7" subtotal="average" baseField="1" baseItem="0" numFmtId="10"/>
  </dataFields>
  <formats count="4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D3D05-2ED9-41BC-8519-B12F6210D279}" name="PivotTable1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" firstHeaderRow="0" firstDataRow="1" firstDataCol="1"/>
  <pivotFields count="14">
    <pivotField showAll="0"/>
    <pivotField showAll="0"/>
    <pivotField showAll="0"/>
    <pivotField showAll="0"/>
    <pivotField axis="axisRow" dataField="1" showAll="0">
      <items count="13">
        <item x="2"/>
        <item x="3"/>
        <item x="5"/>
        <item x="6"/>
        <item x="0"/>
        <item x="7"/>
        <item x="8"/>
        <item x="1"/>
        <item x="9"/>
        <item x="4"/>
        <item x="10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Hashtag2" fld="5" subtotal="count" baseField="0" baseItem="0"/>
    <dataField name="Count of Hashtag1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82879-D31B-461A-8D3C-EE3C2931F6B1}" name="PivotTable1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5" firstHeaderRow="0" firstDataRow="1" firstDataCol="1"/>
  <pivotFields count="14">
    <pivotField showAll="0"/>
    <pivotField showAll="0"/>
    <pivotField showAll="0"/>
    <pivotField showAll="0"/>
    <pivotField axis="axisRow" dataField="1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dataField="1" showAll="0"/>
    <pivotField dataField="1" numFmtId="1" showAll="0"/>
    <pivotField numFmtId="1" showAll="0"/>
    <pivotField numFmtId="1" showAll="0"/>
    <pivotField dataField="1" numFmtId="3" showAll="0"/>
    <pivotField numFmtId="3" showAll="0"/>
    <pivotField numFmtId="3" showAll="0"/>
    <pivotField showAll="0"/>
    <pivotField dataField="1" numFmtId="4"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Count of Hashtag2" fld="5" subtotal="count" baseField="0" baseItem="0"/>
    <dataField name="Count of Hashtag1" fld="4" subtotal="count" baseField="0" baseItem="0"/>
    <dataField name="Average of Likes" fld="6" subtotal="average" baseField="4" baseItem="0" numFmtId="1"/>
    <dataField name="Average of Engagement Rate" fld="13" subtotal="average" baseField="4" baseItem="0" numFmtId="4"/>
    <dataField name="Average of Clicks" fld="9" subtotal="average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0FE3B3-9356-4FF9-9A5A-828FA51C1E4E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4"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3" count="1" selected="0">
              <x v="0"/>
            </reference>
          </references>
        </pivotArea>
      </autoSortScope>
    </pivotField>
    <pivotField showAll="0"/>
    <pivotField axis="axisCol" showAll="0">
      <items count="5">
        <item x="3"/>
        <item x="0"/>
        <item x="1"/>
        <item x="2"/>
        <item t="default"/>
      </items>
    </pivotField>
    <pivotField showAll="0"/>
    <pivotField showAll="0"/>
    <pivotField numFmtId="1" showAll="0"/>
    <pivotField numFmtId="1" showAll="0"/>
    <pivotField numFmtId="1" showAll="0"/>
    <pivotField numFmtId="3" showAll="0"/>
    <pivotField numFmtId="3" showAll="0"/>
    <pivotField numFmtId="3" showAll="0"/>
    <pivotField showAll="0"/>
    <pivotField dataField="1" numFmtId="4" showAll="0"/>
  </pivotFields>
  <rowFields count="1">
    <field x="1"/>
  </rowFields>
  <rowItems count="5">
    <i>
      <x v="2"/>
    </i>
    <i>
      <x/>
    </i>
    <i>
      <x v="3"/>
    </i>
    <i>
      <x v="1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3" subtotal="average" baseField="1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5F1A6-A33A-452D-A98C-0220D3022824}" name="PivotTable1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8" firstHeaderRow="1" firstDataRow="1" firstDataCol="1"/>
  <pivotFields count="14">
    <pivotField showAll="0"/>
    <pivotField showAll="0"/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" showAll="0"/>
    <pivotField numFmtId="1" showAll="0"/>
    <pivotField numFmtId="1" showAll="0"/>
    <pivotField numFmtId="3" showAll="0"/>
    <pivotField numFmtId="3" showAll="0"/>
    <pivotField numFmtId="3" showAll="0"/>
    <pivotField showAll="0"/>
    <pivotField dataField="1" numFmtId="4" showAll="0"/>
  </pivotFields>
  <rowFields count="1">
    <field x="3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Average of Engagement Rate" fld="13" subtotal="average" baseField="3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A4B80-3A3F-4A68-9E5A-A171CD035B8A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dataField="1" numFmtId="1" showAll="0"/>
    <pivotField numFmtId="1" showAll="0"/>
    <pivotField numFmtId="1" showAll="0"/>
    <pivotField dataField="1" numFmtId="3" showAll="0"/>
    <pivotField numFmtId="3" showAll="0"/>
    <pivotField dataField="1" numFmtId="3" showAll="0"/>
    <pivotField axis="axisRow" showAll="0">
      <items count="6">
        <item x="1"/>
        <item x="0"/>
        <item x="3"/>
        <item x="4"/>
        <item x="2"/>
        <item t="default"/>
      </items>
    </pivotField>
    <pivotField numFmtId="4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11" baseField="0" baseItem="0" numFmtId="3"/>
    <dataField name="Sum of Likes" fld="6" baseField="0" baseItem="0" numFmtId="1"/>
    <dataField name="Sum of Clicks" fld="9" baseField="0" baseItem="0" numFmtId="3"/>
    <dataField name="Average of Impressions" fld="11" subtotal="average" baseField="12" baseItem="3" numFmtId="3"/>
    <dataField name="Average of Likes" fld="6" subtotal="average" baseField="12" baseItem="0" numFmtId="1"/>
    <dataField name="Average of Clicks" fld="9" subtotal="average" baseField="12" baseItem="3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D8A725-C06E-4576-8D3D-85412CFC98C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9"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0">
        <item x="5"/>
        <item x="0"/>
        <item x="3"/>
        <item x="7"/>
        <item x="6"/>
        <item x="1"/>
        <item x="4"/>
        <item x="8"/>
        <item x="2"/>
        <item t="default"/>
      </items>
    </pivotField>
  </pivotFields>
  <rowFields count="1">
    <field x="8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Engagement_Rate" fld="6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09AA27-DA95-40E0-AE4C-DC98D45EED8D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F53" firstHeaderRow="1" firstDataRow="2" firstDataCol="1"/>
  <pivotFields count="9">
    <pivotField axis="axisRow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h="1" x="50"/>
        <item t="default"/>
      </items>
    </pivotField>
    <pivotField axis="axisCol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New_Followers" fld="8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40A4D-7C6F-4F26-AF05-A5F2B30B0F69}">
  <dimension ref="A1:I1000"/>
  <sheetViews>
    <sheetView workbookViewId="0">
      <selection activeCell="I5" sqref="A1:XFD1048576"/>
    </sheetView>
  </sheetViews>
  <sheetFormatPr defaultColWidth="14.44140625" defaultRowHeight="14.4" x14ac:dyDescent="0.3"/>
  <cols>
    <col min="1" max="1" width="30.33203125" style="23" customWidth="1"/>
    <col min="2" max="2" width="19.44140625" style="23" customWidth="1"/>
    <col min="3" max="3" width="25.88671875" style="23" customWidth="1"/>
    <col min="4" max="4" width="16.88671875" style="23" customWidth="1"/>
    <col min="5" max="6" width="23.33203125" style="23" customWidth="1"/>
    <col min="7" max="7" width="21.5546875" style="23" customWidth="1"/>
    <col min="8" max="8" width="24.5546875" style="23" customWidth="1"/>
    <col min="9" max="9" width="38.5546875" style="23" customWidth="1"/>
    <col min="10" max="27" width="8.6640625" style="23" customWidth="1"/>
    <col min="28" max="16384" width="14.44140625" style="23"/>
  </cols>
  <sheetData>
    <row r="1" spans="1:9" ht="14.25" customHeight="1" x14ac:dyDescent="0.3">
      <c r="A1" s="35" t="s">
        <v>526</v>
      </c>
      <c r="B1" s="36" t="s">
        <v>1</v>
      </c>
      <c r="C1" s="37" t="s">
        <v>527</v>
      </c>
      <c r="D1" s="37" t="s">
        <v>528</v>
      </c>
      <c r="E1" s="37" t="s">
        <v>529</v>
      </c>
      <c r="F1" s="38" t="s">
        <v>551</v>
      </c>
      <c r="G1" s="59" t="s">
        <v>530</v>
      </c>
      <c r="H1" s="39" t="s">
        <v>531</v>
      </c>
    </row>
    <row r="2" spans="1:9" ht="14.25" customHeight="1" x14ac:dyDescent="0.3">
      <c r="A2" s="40" t="s">
        <v>197</v>
      </c>
      <c r="B2" s="41" t="s">
        <v>26</v>
      </c>
      <c r="C2" s="42">
        <v>4138</v>
      </c>
      <c r="D2" s="42">
        <v>361</v>
      </c>
      <c r="E2" s="42">
        <v>103777</v>
      </c>
      <c r="F2" s="43">
        <f>(C2-D2)/E2</f>
        <v>3.6395347716738774E-2</v>
      </c>
      <c r="G2" s="60">
        <v>56.637790647253247</v>
      </c>
      <c r="H2" s="44">
        <v>23944</v>
      </c>
      <c r="I2" s="61"/>
    </row>
    <row r="3" spans="1:9" ht="14.25" customHeight="1" x14ac:dyDescent="0.3">
      <c r="A3" s="40" t="s">
        <v>197</v>
      </c>
      <c r="B3" s="41" t="s">
        <v>53</v>
      </c>
      <c r="C3" s="42">
        <v>8693</v>
      </c>
      <c r="D3" s="42">
        <v>1261</v>
      </c>
      <c r="E3" s="42">
        <v>111209</v>
      </c>
      <c r="F3" s="43">
        <f t="shared" ref="F3:F67" si="0">(C3-D3)/E3</f>
        <v>6.6829123542159363E-2</v>
      </c>
      <c r="G3" s="60">
        <v>69.475492091467416</v>
      </c>
      <c r="H3" s="44">
        <v>29873</v>
      </c>
      <c r="I3" s="61"/>
    </row>
    <row r="4" spans="1:9" ht="14.25" customHeight="1" x14ac:dyDescent="0.3">
      <c r="A4" s="40" t="s">
        <v>197</v>
      </c>
      <c r="B4" s="41" t="s">
        <v>14</v>
      </c>
      <c r="C4" s="42">
        <v>9264</v>
      </c>
      <c r="D4" s="42">
        <v>1141</v>
      </c>
      <c r="E4" s="42">
        <v>119332</v>
      </c>
      <c r="F4" s="43">
        <f t="shared" si="0"/>
        <v>6.8070592967519189E-2</v>
      </c>
      <c r="G4" s="60">
        <v>92.312204605638044</v>
      </c>
      <c r="H4" s="44">
        <v>50372</v>
      </c>
      <c r="I4" s="61"/>
    </row>
    <row r="5" spans="1:9" ht="14.25" customHeight="1" x14ac:dyDescent="0.3">
      <c r="A5" s="40" t="s">
        <v>210</v>
      </c>
      <c r="B5" s="41" t="s">
        <v>26</v>
      </c>
      <c r="C5" s="42">
        <v>7721</v>
      </c>
      <c r="D5" s="42">
        <v>506</v>
      </c>
      <c r="E5" s="42">
        <v>134418</v>
      </c>
      <c r="F5" s="43">
        <f t="shared" si="0"/>
        <v>5.3675846984778827E-2</v>
      </c>
      <c r="G5" s="60">
        <v>35.577824398518047</v>
      </c>
      <c r="H5" s="44">
        <v>25379</v>
      </c>
      <c r="I5" s="61"/>
    </row>
    <row r="6" spans="1:9" ht="14.25" customHeight="1" x14ac:dyDescent="0.3">
      <c r="A6" s="40" t="s">
        <v>210</v>
      </c>
      <c r="B6" s="41" t="s">
        <v>14</v>
      </c>
      <c r="C6" s="42">
        <v>8002</v>
      </c>
      <c r="D6" s="42">
        <v>524</v>
      </c>
      <c r="E6" s="42">
        <v>141896</v>
      </c>
      <c r="F6" s="43">
        <f t="shared" si="0"/>
        <v>5.270056943113266E-2</v>
      </c>
      <c r="G6" s="60">
        <v>52.064892597395271</v>
      </c>
      <c r="H6" s="44">
        <v>46751</v>
      </c>
      <c r="I6" s="61"/>
    </row>
    <row r="7" spans="1:9" ht="14.25" customHeight="1" x14ac:dyDescent="0.3">
      <c r="A7" s="40" t="s">
        <v>210</v>
      </c>
      <c r="B7" s="41" t="s">
        <v>53</v>
      </c>
      <c r="C7" s="42">
        <v>5225</v>
      </c>
      <c r="D7" s="42">
        <v>291</v>
      </c>
      <c r="E7" s="42">
        <v>146830</v>
      </c>
      <c r="F7" s="43">
        <f t="shared" si="0"/>
        <v>3.3603487025812166E-2</v>
      </c>
      <c r="G7" s="60">
        <v>19.551862698358651</v>
      </c>
      <c r="H7" s="44">
        <v>44546</v>
      </c>
      <c r="I7" s="61"/>
    </row>
    <row r="8" spans="1:9" ht="14.25" customHeight="1" x14ac:dyDescent="0.3">
      <c r="A8" s="40" t="s">
        <v>134</v>
      </c>
      <c r="B8" s="41" t="s">
        <v>26</v>
      </c>
      <c r="C8" s="42">
        <v>8373</v>
      </c>
      <c r="D8" s="42">
        <v>921</v>
      </c>
      <c r="E8" s="42">
        <v>157717</v>
      </c>
      <c r="F8" s="43">
        <f t="shared" si="0"/>
        <v>4.7249186834646864E-2</v>
      </c>
      <c r="G8" s="60">
        <v>12.2263294381709</v>
      </c>
      <c r="H8" s="44">
        <v>15110</v>
      </c>
      <c r="I8" s="61"/>
    </row>
    <row r="9" spans="1:9" ht="14.25" customHeight="1" x14ac:dyDescent="0.3">
      <c r="A9" s="40" t="s">
        <v>134</v>
      </c>
      <c r="B9" s="41" t="s">
        <v>53</v>
      </c>
      <c r="C9" s="42">
        <v>6907</v>
      </c>
      <c r="D9" s="42">
        <v>834</v>
      </c>
      <c r="E9" s="42">
        <v>163790</v>
      </c>
      <c r="F9" s="43">
        <f t="shared" si="0"/>
        <v>3.7077965687770928E-2</v>
      </c>
      <c r="G9" s="60">
        <v>54.158984064961238</v>
      </c>
      <c r="H9" s="44">
        <v>22087</v>
      </c>
      <c r="I9" s="61"/>
    </row>
    <row r="10" spans="1:9" ht="14.25" customHeight="1" x14ac:dyDescent="0.3">
      <c r="A10" s="40" t="s">
        <v>134</v>
      </c>
      <c r="B10" s="41" t="s">
        <v>21</v>
      </c>
      <c r="C10" s="42">
        <v>7097</v>
      </c>
      <c r="D10" s="42">
        <v>369</v>
      </c>
      <c r="E10" s="42">
        <v>170518</v>
      </c>
      <c r="F10" s="43">
        <f t="shared" si="0"/>
        <v>3.9456245088495059E-2</v>
      </c>
      <c r="G10" s="60">
        <v>9.2506362964613711</v>
      </c>
      <c r="H10" s="44">
        <v>33762</v>
      </c>
      <c r="I10" s="61"/>
    </row>
    <row r="11" spans="1:9" ht="14.25" customHeight="1" x14ac:dyDescent="0.3">
      <c r="A11" s="40" t="s">
        <v>42</v>
      </c>
      <c r="B11" s="41" t="s">
        <v>53</v>
      </c>
      <c r="C11" s="42">
        <v>9984</v>
      </c>
      <c r="D11" s="42">
        <v>1330</v>
      </c>
      <c r="E11" s="42">
        <v>184850</v>
      </c>
      <c r="F11" s="43">
        <f t="shared" si="0"/>
        <v>4.6816337571003515E-2</v>
      </c>
      <c r="G11" s="60">
        <v>57.524479307546663</v>
      </c>
      <c r="H11" s="44">
        <v>44947</v>
      </c>
      <c r="I11" s="61"/>
    </row>
    <row r="12" spans="1:9" ht="14.25" customHeight="1" x14ac:dyDescent="0.3">
      <c r="A12" s="40" t="s">
        <v>42</v>
      </c>
      <c r="B12" s="41" t="s">
        <v>26</v>
      </c>
      <c r="C12" s="42">
        <v>5259</v>
      </c>
      <c r="D12" s="42">
        <v>374</v>
      </c>
      <c r="E12" s="42">
        <v>189735</v>
      </c>
      <c r="F12" s="43">
        <f t="shared" si="0"/>
        <v>2.5746435818378266E-2</v>
      </c>
      <c r="G12" s="60">
        <v>14.827522597306769</v>
      </c>
      <c r="H12" s="44">
        <v>19596</v>
      </c>
      <c r="I12" s="61"/>
    </row>
    <row r="13" spans="1:9" ht="14.25" customHeight="1" x14ac:dyDescent="0.3">
      <c r="A13" s="40" t="s">
        <v>42</v>
      </c>
      <c r="B13" s="41" t="s">
        <v>14</v>
      </c>
      <c r="C13" s="42">
        <v>9286</v>
      </c>
      <c r="D13" s="42">
        <v>633</v>
      </c>
      <c r="E13" s="42">
        <v>198388</v>
      </c>
      <c r="F13" s="43">
        <f t="shared" si="0"/>
        <v>4.3616549388067825E-2</v>
      </c>
      <c r="G13" s="60">
        <v>5.4343004617214756</v>
      </c>
      <c r="H13" s="44">
        <v>48019</v>
      </c>
      <c r="I13" s="61"/>
    </row>
    <row r="14" spans="1:9" ht="14.25" customHeight="1" x14ac:dyDescent="0.3">
      <c r="A14" s="40" t="s">
        <v>404</v>
      </c>
      <c r="B14" s="41" t="s">
        <v>21</v>
      </c>
      <c r="C14" s="42">
        <v>5917</v>
      </c>
      <c r="D14" s="42">
        <v>475</v>
      </c>
      <c r="E14" s="42">
        <v>210260</v>
      </c>
      <c r="F14" s="43">
        <f t="shared" si="0"/>
        <v>2.5882241034909159E-2</v>
      </c>
      <c r="G14" s="60">
        <v>17.894035955483691</v>
      </c>
      <c r="H14" s="44">
        <v>28313</v>
      </c>
      <c r="I14" s="61"/>
    </row>
    <row r="15" spans="1:9" ht="14.25" customHeight="1" x14ac:dyDescent="0.3">
      <c r="A15" s="40" t="s">
        <v>404</v>
      </c>
      <c r="B15" s="41" t="s">
        <v>53</v>
      </c>
      <c r="C15" s="42">
        <v>9429</v>
      </c>
      <c r="D15" s="42">
        <v>966</v>
      </c>
      <c r="E15" s="42">
        <v>218723</v>
      </c>
      <c r="F15" s="43">
        <f t="shared" si="0"/>
        <v>3.8692775794040866E-2</v>
      </c>
      <c r="G15" s="60">
        <v>7.6914636320825887</v>
      </c>
      <c r="H15" s="44">
        <v>57639</v>
      </c>
      <c r="I15" s="61"/>
    </row>
    <row r="16" spans="1:9" ht="14.25" customHeight="1" x14ac:dyDescent="0.3">
      <c r="A16" s="40" t="s">
        <v>404</v>
      </c>
      <c r="B16" s="41" t="s">
        <v>26</v>
      </c>
      <c r="C16" s="42">
        <v>3530</v>
      </c>
      <c r="D16" s="42">
        <v>328</v>
      </c>
      <c r="E16" s="42">
        <v>221925</v>
      </c>
      <c r="F16" s="43">
        <f t="shared" si="0"/>
        <v>1.4428297848372199E-2</v>
      </c>
      <c r="G16" s="60">
        <v>12.8372197814577</v>
      </c>
      <c r="H16" s="44">
        <v>11013</v>
      </c>
      <c r="I16" s="61"/>
    </row>
    <row r="17" spans="1:9" ht="14.25" customHeight="1" x14ac:dyDescent="0.3">
      <c r="A17" s="40" t="s">
        <v>532</v>
      </c>
      <c r="B17" s="41" t="s">
        <v>53</v>
      </c>
      <c r="C17" s="42">
        <v>8045</v>
      </c>
      <c r="D17" s="42">
        <v>894</v>
      </c>
      <c r="E17" s="42">
        <v>231802</v>
      </c>
      <c r="F17" s="43">
        <f t="shared" si="0"/>
        <v>3.084960440375838E-2</v>
      </c>
      <c r="G17" s="60">
        <v>47.634187798207087</v>
      </c>
      <c r="H17" s="44">
        <v>33705</v>
      </c>
      <c r="I17" s="61"/>
    </row>
    <row r="18" spans="1:9" ht="14.25" customHeight="1" x14ac:dyDescent="0.3">
      <c r="A18" s="40" t="s">
        <v>532</v>
      </c>
      <c r="B18" s="41" t="s">
        <v>21</v>
      </c>
      <c r="C18" s="42">
        <v>2048</v>
      </c>
      <c r="D18" s="42">
        <v>130</v>
      </c>
      <c r="E18" s="42">
        <v>233720</v>
      </c>
      <c r="F18" s="43">
        <f t="shared" si="0"/>
        <v>8.2064008214958063E-3</v>
      </c>
      <c r="G18" s="60">
        <v>39.284614068115687</v>
      </c>
      <c r="H18" s="44">
        <v>11828</v>
      </c>
      <c r="I18" s="61"/>
    </row>
    <row r="19" spans="1:9" ht="14.25" customHeight="1" x14ac:dyDescent="0.3">
      <c r="A19" s="40" t="s">
        <v>275</v>
      </c>
      <c r="B19" s="41" t="s">
        <v>26</v>
      </c>
      <c r="C19" s="42">
        <v>3964</v>
      </c>
      <c r="D19" s="42">
        <v>378</v>
      </c>
      <c r="E19" s="42">
        <v>246766</v>
      </c>
      <c r="F19" s="43">
        <f t="shared" si="0"/>
        <v>1.453198576789347E-2</v>
      </c>
      <c r="G19" s="60">
        <v>13.6355899921383</v>
      </c>
      <c r="H19" s="44">
        <v>23109</v>
      </c>
      <c r="I19" s="61"/>
    </row>
    <row r="20" spans="1:9" ht="14.25" customHeight="1" x14ac:dyDescent="0.3">
      <c r="A20" s="40" t="s">
        <v>275</v>
      </c>
      <c r="B20" s="41" t="s">
        <v>53</v>
      </c>
      <c r="C20" s="42">
        <v>8137</v>
      </c>
      <c r="D20" s="42">
        <v>1045</v>
      </c>
      <c r="E20" s="42">
        <v>253858</v>
      </c>
      <c r="F20" s="43">
        <f t="shared" si="0"/>
        <v>2.7936878097203948E-2</v>
      </c>
      <c r="G20" s="60">
        <v>20.47246886054408</v>
      </c>
      <c r="H20" s="44">
        <v>12023</v>
      </c>
      <c r="I20" s="61"/>
    </row>
    <row r="21" spans="1:9" ht="14.25" customHeight="1" x14ac:dyDescent="0.3">
      <c r="A21" s="40" t="s">
        <v>275</v>
      </c>
      <c r="B21" s="41" t="s">
        <v>14</v>
      </c>
      <c r="C21" s="42">
        <v>1963</v>
      </c>
      <c r="D21" s="42">
        <v>137</v>
      </c>
      <c r="E21" s="42">
        <v>255684</v>
      </c>
      <c r="F21" s="43">
        <f t="shared" si="0"/>
        <v>7.1416279469970747E-3</v>
      </c>
      <c r="G21" s="60">
        <v>11.2083665774941</v>
      </c>
      <c r="H21" s="44">
        <v>24537</v>
      </c>
      <c r="I21" s="61"/>
    </row>
    <row r="22" spans="1:9" ht="14.25" customHeight="1" x14ac:dyDescent="0.3">
      <c r="A22" s="40" t="s">
        <v>533</v>
      </c>
      <c r="B22" s="41" t="s">
        <v>21</v>
      </c>
      <c r="C22" s="42">
        <v>8340</v>
      </c>
      <c r="D22" s="42">
        <v>911</v>
      </c>
      <c r="E22" s="42">
        <v>264494</v>
      </c>
      <c r="F22" s="43">
        <f t="shared" si="0"/>
        <v>2.8087593669421613E-2</v>
      </c>
      <c r="G22" s="60">
        <v>37.302925586213682</v>
      </c>
      <c r="H22" s="44">
        <v>48659</v>
      </c>
      <c r="I22" s="61"/>
    </row>
    <row r="23" spans="1:9" ht="14.25" customHeight="1" x14ac:dyDescent="0.3">
      <c r="A23" s="40" t="s">
        <v>533</v>
      </c>
      <c r="B23" s="41" t="s">
        <v>53</v>
      </c>
      <c r="C23" s="42">
        <v>8179</v>
      </c>
      <c r="D23" s="42">
        <v>446</v>
      </c>
      <c r="E23" s="42">
        <v>272227</v>
      </c>
      <c r="F23" s="43">
        <f t="shared" si="0"/>
        <v>2.8406440213498294E-2</v>
      </c>
      <c r="G23" s="60">
        <v>41.82171496581897</v>
      </c>
      <c r="H23" s="44">
        <v>43848</v>
      </c>
      <c r="I23" s="61"/>
    </row>
    <row r="24" spans="1:9" ht="14.25" customHeight="1" x14ac:dyDescent="0.3">
      <c r="A24" s="40" t="s">
        <v>533</v>
      </c>
      <c r="B24" s="41" t="s">
        <v>14</v>
      </c>
      <c r="C24" s="42">
        <v>9734</v>
      </c>
      <c r="D24" s="42">
        <v>652</v>
      </c>
      <c r="E24" s="42">
        <v>289283</v>
      </c>
      <c r="F24" s="43">
        <f t="shared" si="0"/>
        <v>3.1394862470314533E-2</v>
      </c>
      <c r="G24" s="60">
        <v>49.647922622483861</v>
      </c>
      <c r="H24" s="44">
        <v>25379</v>
      </c>
      <c r="I24" s="61"/>
    </row>
    <row r="25" spans="1:9" ht="14.25" customHeight="1" x14ac:dyDescent="0.3">
      <c r="A25" s="40" t="s">
        <v>230</v>
      </c>
      <c r="B25" s="41" t="s">
        <v>21</v>
      </c>
      <c r="C25" s="42">
        <v>1845</v>
      </c>
      <c r="D25" s="42">
        <v>104</v>
      </c>
      <c r="E25" s="42">
        <v>291024</v>
      </c>
      <c r="F25" s="43">
        <f t="shared" si="0"/>
        <v>5.9823244818296775E-3</v>
      </c>
      <c r="G25" s="60">
        <v>28.158158777282971</v>
      </c>
      <c r="H25" s="44">
        <v>37766</v>
      </c>
      <c r="I25" s="61"/>
    </row>
    <row r="26" spans="1:9" ht="14.25" customHeight="1" x14ac:dyDescent="0.3">
      <c r="A26" s="40" t="s">
        <v>230</v>
      </c>
      <c r="B26" s="41" t="s">
        <v>14</v>
      </c>
      <c r="C26" s="42">
        <v>4036</v>
      </c>
      <c r="D26" s="42">
        <v>591</v>
      </c>
      <c r="E26" s="42">
        <v>300265</v>
      </c>
      <c r="F26" s="43">
        <f t="shared" si="0"/>
        <v>1.1473198674504187E-2</v>
      </c>
      <c r="G26" s="60">
        <v>44.219272975538267</v>
      </c>
      <c r="H26" s="44">
        <v>12563</v>
      </c>
      <c r="I26" s="61"/>
    </row>
    <row r="27" spans="1:9" ht="14.25" customHeight="1" x14ac:dyDescent="0.3">
      <c r="A27" s="40" t="s">
        <v>230</v>
      </c>
      <c r="B27" s="41" t="s">
        <v>53</v>
      </c>
      <c r="C27" s="42">
        <v>6947</v>
      </c>
      <c r="D27" s="42">
        <v>908</v>
      </c>
      <c r="E27" s="42">
        <v>306304</v>
      </c>
      <c r="F27" s="43">
        <f t="shared" si="0"/>
        <v>1.9715707271207691E-2</v>
      </c>
      <c r="G27" s="60">
        <v>14.117673944839121</v>
      </c>
      <c r="H27" s="44">
        <v>46060</v>
      </c>
      <c r="I27" s="61"/>
    </row>
    <row r="28" spans="1:9" ht="14.25" customHeight="1" x14ac:dyDescent="0.3">
      <c r="A28" s="40" t="s">
        <v>446</v>
      </c>
      <c r="B28" s="41" t="s">
        <v>26</v>
      </c>
      <c r="C28" s="42">
        <v>3494</v>
      </c>
      <c r="D28" s="42">
        <v>281</v>
      </c>
      <c r="E28" s="42">
        <v>309517</v>
      </c>
      <c r="F28" s="43">
        <f t="shared" si="0"/>
        <v>1.0380689913639638E-2</v>
      </c>
      <c r="G28" s="60">
        <v>27.765518533715429</v>
      </c>
      <c r="H28" s="44">
        <v>39197</v>
      </c>
      <c r="I28" s="61"/>
    </row>
    <row r="29" spans="1:9" ht="14.25" customHeight="1" x14ac:dyDescent="0.3">
      <c r="A29" s="40" t="s">
        <v>446</v>
      </c>
      <c r="B29" s="41" t="s">
        <v>53</v>
      </c>
      <c r="C29" s="42">
        <v>3719</v>
      </c>
      <c r="D29" s="42">
        <v>222</v>
      </c>
      <c r="E29" s="42">
        <v>313014</v>
      </c>
      <c r="F29" s="43">
        <f t="shared" si="0"/>
        <v>1.1172024254506188E-2</v>
      </c>
      <c r="G29" s="60">
        <v>21.669318305251519</v>
      </c>
      <c r="H29" s="44">
        <v>13586</v>
      </c>
      <c r="I29" s="61"/>
    </row>
    <row r="30" spans="1:9" ht="14.25" customHeight="1" x14ac:dyDescent="0.3">
      <c r="A30" s="40" t="s">
        <v>446</v>
      </c>
      <c r="B30" s="41" t="s">
        <v>14</v>
      </c>
      <c r="C30" s="42">
        <v>2884</v>
      </c>
      <c r="D30" s="42">
        <v>341</v>
      </c>
      <c r="E30" s="42">
        <v>315557</v>
      </c>
      <c r="F30" s="43">
        <f t="shared" si="0"/>
        <v>8.058765928184131E-3</v>
      </c>
      <c r="G30" s="60">
        <v>46.999749649033298</v>
      </c>
      <c r="H30" s="44">
        <v>26087</v>
      </c>
      <c r="I30" s="61"/>
    </row>
    <row r="31" spans="1:9" ht="14.25" customHeight="1" x14ac:dyDescent="0.3">
      <c r="A31" s="40" t="s">
        <v>446</v>
      </c>
      <c r="B31" s="41" t="s">
        <v>21</v>
      </c>
      <c r="C31" s="42">
        <v>5349</v>
      </c>
      <c r="D31" s="42">
        <v>502</v>
      </c>
      <c r="E31" s="42">
        <v>320404</v>
      </c>
      <c r="F31" s="43">
        <f t="shared" si="0"/>
        <v>1.5127776182569505E-2</v>
      </c>
      <c r="G31" s="60">
        <v>5.2152906954969351</v>
      </c>
      <c r="H31" s="44">
        <v>58868</v>
      </c>
      <c r="I31" s="61"/>
    </row>
    <row r="32" spans="1:9" ht="14.25" customHeight="1" x14ac:dyDescent="0.3">
      <c r="A32" s="40" t="s">
        <v>33</v>
      </c>
      <c r="B32" s="41" t="s">
        <v>53</v>
      </c>
      <c r="C32" s="42">
        <v>6179</v>
      </c>
      <c r="D32" s="42">
        <v>384</v>
      </c>
      <c r="E32" s="42">
        <v>326199</v>
      </c>
      <c r="F32" s="43">
        <f t="shared" si="0"/>
        <v>1.7765229200580015E-2</v>
      </c>
      <c r="G32" s="60">
        <v>14.71218489327067</v>
      </c>
      <c r="H32" s="44">
        <v>33225</v>
      </c>
      <c r="I32" s="61"/>
    </row>
    <row r="33" spans="1:9" ht="14.25" customHeight="1" x14ac:dyDescent="0.3">
      <c r="A33" s="40" t="s">
        <v>33</v>
      </c>
      <c r="B33" s="41" t="s">
        <v>26</v>
      </c>
      <c r="C33" s="42">
        <v>7610</v>
      </c>
      <c r="D33" s="42">
        <v>757</v>
      </c>
      <c r="E33" s="42">
        <v>333052</v>
      </c>
      <c r="F33" s="43">
        <f t="shared" si="0"/>
        <v>2.0576366453286574E-2</v>
      </c>
      <c r="G33" s="60">
        <v>44.450416151231643</v>
      </c>
      <c r="H33" s="44">
        <v>39750</v>
      </c>
      <c r="I33" s="61"/>
    </row>
    <row r="34" spans="1:9" ht="14.25" customHeight="1" x14ac:dyDescent="0.3">
      <c r="A34" s="40" t="s">
        <v>33</v>
      </c>
      <c r="B34" s="41" t="s">
        <v>14</v>
      </c>
      <c r="C34" s="42">
        <v>7430</v>
      </c>
      <c r="D34" s="42">
        <v>397</v>
      </c>
      <c r="E34" s="42">
        <v>340085</v>
      </c>
      <c r="F34" s="43">
        <f t="shared" si="0"/>
        <v>2.0680124086625402E-2</v>
      </c>
      <c r="G34" s="60">
        <v>28.065042562888689</v>
      </c>
      <c r="H34" s="44">
        <v>16643</v>
      </c>
      <c r="I34" s="61"/>
    </row>
    <row r="35" spans="1:9" ht="14.25" customHeight="1" x14ac:dyDescent="0.3">
      <c r="A35" s="40" t="s">
        <v>72</v>
      </c>
      <c r="B35" s="41" t="s">
        <v>26</v>
      </c>
      <c r="C35" s="42">
        <v>7488</v>
      </c>
      <c r="D35" s="42">
        <v>568</v>
      </c>
      <c r="E35" s="42">
        <v>354010</v>
      </c>
      <c r="F35" s="43">
        <f t="shared" si="0"/>
        <v>1.9547470410440384E-2</v>
      </c>
      <c r="G35" s="60">
        <v>13.47730290104799</v>
      </c>
      <c r="H35" s="44">
        <v>46727</v>
      </c>
      <c r="I35" s="61"/>
    </row>
    <row r="36" spans="1:9" ht="14.25" customHeight="1" x14ac:dyDescent="0.3">
      <c r="A36" s="40" t="s">
        <v>72</v>
      </c>
      <c r="B36" s="41" t="s">
        <v>14</v>
      </c>
      <c r="C36" s="42">
        <v>5737</v>
      </c>
      <c r="D36" s="42">
        <v>666</v>
      </c>
      <c r="E36" s="42">
        <v>359081</v>
      </c>
      <c r="F36" s="43">
        <f t="shared" si="0"/>
        <v>1.4122161852061233E-2</v>
      </c>
      <c r="G36" s="60">
        <v>4.6034181702735593</v>
      </c>
      <c r="H36" s="44">
        <v>21005</v>
      </c>
      <c r="I36" s="61"/>
    </row>
    <row r="37" spans="1:9" ht="14.25" customHeight="1" x14ac:dyDescent="0.3">
      <c r="A37" s="40" t="s">
        <v>67</v>
      </c>
      <c r="B37" s="41" t="s">
        <v>21</v>
      </c>
      <c r="C37" s="42">
        <v>1689</v>
      </c>
      <c r="D37" s="42">
        <v>176</v>
      </c>
      <c r="E37" s="42">
        <v>371865</v>
      </c>
      <c r="F37" s="43">
        <f t="shared" si="0"/>
        <v>4.068680838476329E-3</v>
      </c>
      <c r="G37" s="60">
        <v>38.012181840183942</v>
      </c>
      <c r="H37" s="44">
        <v>26029</v>
      </c>
      <c r="I37" s="61"/>
    </row>
    <row r="38" spans="1:9" ht="14.25" customHeight="1" x14ac:dyDescent="0.3">
      <c r="A38" s="40" t="s">
        <v>67</v>
      </c>
      <c r="B38" s="41" t="s">
        <v>53</v>
      </c>
      <c r="C38" s="42">
        <v>6175</v>
      </c>
      <c r="D38" s="42">
        <v>422</v>
      </c>
      <c r="E38" s="42">
        <v>377618</v>
      </c>
      <c r="F38" s="43">
        <f t="shared" si="0"/>
        <v>1.523497290913039E-2</v>
      </c>
      <c r="G38" s="60">
        <v>37.86101298137271</v>
      </c>
      <c r="H38" s="44">
        <v>59745</v>
      </c>
      <c r="I38" s="61"/>
    </row>
    <row r="39" spans="1:9" ht="14.25" customHeight="1" x14ac:dyDescent="0.3">
      <c r="A39" s="40" t="s">
        <v>67</v>
      </c>
      <c r="B39" s="41" t="s">
        <v>26</v>
      </c>
      <c r="C39" s="42">
        <v>9648</v>
      </c>
      <c r="D39" s="42">
        <v>1417</v>
      </c>
      <c r="E39" s="42">
        <v>385849</v>
      </c>
      <c r="F39" s="43">
        <f t="shared" si="0"/>
        <v>2.1332179168534842E-2</v>
      </c>
      <c r="G39" s="60">
        <v>3.6633501706626168</v>
      </c>
      <c r="H39" s="44">
        <v>24226</v>
      </c>
      <c r="I39" s="61"/>
    </row>
    <row r="40" spans="1:9" ht="14.25" customHeight="1" x14ac:dyDescent="0.3">
      <c r="A40" s="40" t="s">
        <v>67</v>
      </c>
      <c r="B40" s="41" t="s">
        <v>14</v>
      </c>
      <c r="C40" s="42">
        <v>6078</v>
      </c>
      <c r="D40" s="42">
        <v>775</v>
      </c>
      <c r="E40" s="42">
        <v>391152</v>
      </c>
      <c r="F40" s="43">
        <f t="shared" si="0"/>
        <v>1.3557389454738823E-2</v>
      </c>
      <c r="G40" s="60">
        <v>37.760512537325639</v>
      </c>
      <c r="H40" s="44">
        <v>38731</v>
      </c>
      <c r="I40" s="61"/>
    </row>
    <row r="41" spans="1:9" ht="14.25" customHeight="1" x14ac:dyDescent="0.3">
      <c r="A41" s="40" t="s">
        <v>164</v>
      </c>
      <c r="B41" s="41" t="s">
        <v>26</v>
      </c>
      <c r="C41" s="42">
        <v>6448</v>
      </c>
      <c r="D41" s="42">
        <v>928</v>
      </c>
      <c r="E41" s="42">
        <v>396672</v>
      </c>
      <c r="F41" s="43">
        <f t="shared" si="0"/>
        <v>1.3915779283639884E-2</v>
      </c>
      <c r="G41" s="60">
        <v>30.118586640851881</v>
      </c>
      <c r="H41" s="44">
        <v>53922</v>
      </c>
      <c r="I41" s="61"/>
    </row>
    <row r="42" spans="1:9" ht="14.25" customHeight="1" x14ac:dyDescent="0.3">
      <c r="A42" s="40" t="s">
        <v>164</v>
      </c>
      <c r="B42" s="41" t="s">
        <v>53</v>
      </c>
      <c r="C42" s="42">
        <v>7406</v>
      </c>
      <c r="D42" s="42">
        <v>813</v>
      </c>
      <c r="E42" s="42">
        <v>405141</v>
      </c>
      <c r="F42" s="43">
        <f t="shared" si="0"/>
        <v>1.6273346810122897E-2</v>
      </c>
      <c r="G42" s="60">
        <v>24.457411123534769</v>
      </c>
      <c r="H42" s="44">
        <v>13390</v>
      </c>
      <c r="I42" s="61"/>
    </row>
    <row r="43" spans="1:9" ht="14.25" customHeight="1" x14ac:dyDescent="0.3">
      <c r="A43" s="40" t="s">
        <v>164</v>
      </c>
      <c r="B43" s="41" t="s">
        <v>21</v>
      </c>
      <c r="C43" s="42">
        <v>9591</v>
      </c>
      <c r="D43" s="42">
        <v>1363</v>
      </c>
      <c r="E43" s="42">
        <v>413369</v>
      </c>
      <c r="F43" s="43">
        <f t="shared" si="0"/>
        <v>1.9904734026983156E-2</v>
      </c>
      <c r="G43" s="60">
        <v>10.494255737609739</v>
      </c>
      <c r="H43" s="44">
        <v>15997</v>
      </c>
      <c r="I43" s="61"/>
    </row>
    <row r="44" spans="1:9" ht="14.25" customHeight="1" x14ac:dyDescent="0.3">
      <c r="A44" s="40" t="s">
        <v>76</v>
      </c>
      <c r="B44" s="41" t="s">
        <v>26</v>
      </c>
      <c r="C44" s="42">
        <v>7907</v>
      </c>
      <c r="D44" s="42">
        <v>465</v>
      </c>
      <c r="E44" s="42">
        <v>420811</v>
      </c>
      <c r="F44" s="43">
        <f t="shared" si="0"/>
        <v>1.76848989213685E-2</v>
      </c>
      <c r="G44" s="60">
        <v>33.257448118038738</v>
      </c>
      <c r="H44" s="44">
        <v>22693</v>
      </c>
      <c r="I44" s="61"/>
    </row>
    <row r="45" spans="1:9" ht="14.25" customHeight="1" x14ac:dyDescent="0.3">
      <c r="A45" s="40" t="s">
        <v>76</v>
      </c>
      <c r="B45" s="41" t="s">
        <v>14</v>
      </c>
      <c r="C45" s="42">
        <v>9800</v>
      </c>
      <c r="D45" s="42">
        <v>682</v>
      </c>
      <c r="E45" s="42">
        <v>429929</v>
      </c>
      <c r="F45" s="43">
        <f t="shared" si="0"/>
        <v>2.1208152974095722E-2</v>
      </c>
      <c r="G45" s="60">
        <v>6.2966210699906267</v>
      </c>
      <c r="H45" s="44">
        <v>59815</v>
      </c>
      <c r="I45" s="61"/>
    </row>
    <row r="46" spans="1:9" ht="14.25" customHeight="1" x14ac:dyDescent="0.3">
      <c r="A46" s="40" t="s">
        <v>76</v>
      </c>
      <c r="B46" s="41" t="s">
        <v>21</v>
      </c>
      <c r="C46" s="42">
        <v>6671</v>
      </c>
      <c r="D46" s="42">
        <v>550</v>
      </c>
      <c r="E46" s="42">
        <v>438545</v>
      </c>
      <c r="F46" s="43">
        <f t="shared" si="0"/>
        <v>1.3957518612685129E-2</v>
      </c>
      <c r="G46" s="60">
        <v>17.750287883797562</v>
      </c>
      <c r="H46" s="44">
        <v>10541</v>
      </c>
      <c r="I46" s="61"/>
    </row>
    <row r="47" spans="1:9" ht="14.25" customHeight="1" x14ac:dyDescent="0.3">
      <c r="A47" s="40" t="s">
        <v>534</v>
      </c>
      <c r="B47" s="41" t="s">
        <v>14</v>
      </c>
      <c r="C47" s="42">
        <v>7928</v>
      </c>
      <c r="D47" s="42">
        <v>704</v>
      </c>
      <c r="E47" s="42">
        <v>445769</v>
      </c>
      <c r="F47" s="43">
        <f t="shared" si="0"/>
        <v>1.6205702953772022E-2</v>
      </c>
      <c r="G47" s="60">
        <v>11.194362999670229</v>
      </c>
      <c r="H47" s="44">
        <v>31817</v>
      </c>
      <c r="I47" s="61"/>
    </row>
    <row r="48" spans="1:9" ht="14.25" customHeight="1" x14ac:dyDescent="0.3">
      <c r="A48" s="40" t="s">
        <v>534</v>
      </c>
      <c r="B48" s="41" t="s">
        <v>21</v>
      </c>
      <c r="C48" s="42">
        <v>2382</v>
      </c>
      <c r="D48" s="42">
        <v>183</v>
      </c>
      <c r="E48" s="42">
        <v>447968</v>
      </c>
      <c r="F48" s="43">
        <f t="shared" si="0"/>
        <v>4.9088327737695546E-3</v>
      </c>
      <c r="G48" s="60">
        <v>4.7335970426459033</v>
      </c>
      <c r="H48" s="44">
        <v>47861</v>
      </c>
      <c r="I48" s="61"/>
    </row>
    <row r="49" spans="1:9" ht="14.25" customHeight="1" x14ac:dyDescent="0.3">
      <c r="A49" s="40" t="s">
        <v>534</v>
      </c>
      <c r="B49" s="41" t="s">
        <v>53</v>
      </c>
      <c r="C49" s="42">
        <v>4292</v>
      </c>
      <c r="D49" s="42">
        <v>367</v>
      </c>
      <c r="E49" s="42">
        <v>453977</v>
      </c>
      <c r="F49" s="43">
        <f t="shared" si="0"/>
        <v>8.6458124530537899E-3</v>
      </c>
      <c r="G49" s="60">
        <v>3.5037017293827661</v>
      </c>
      <c r="H49" s="44">
        <v>53934</v>
      </c>
      <c r="I49" s="61"/>
    </row>
    <row r="50" spans="1:9" ht="14.25" customHeight="1" x14ac:dyDescent="0.3">
      <c r="A50" s="40" t="s">
        <v>535</v>
      </c>
      <c r="B50" s="41" t="s">
        <v>26</v>
      </c>
      <c r="C50" s="42">
        <v>1419</v>
      </c>
      <c r="D50" s="42">
        <v>110</v>
      </c>
      <c r="E50" s="42">
        <v>455286</v>
      </c>
      <c r="F50" s="43">
        <f>(C50-D50)/E50</f>
        <v>2.8751158612388694E-3</v>
      </c>
      <c r="G50" s="60">
        <v>31.554451487636339</v>
      </c>
      <c r="H50" s="44">
        <v>58831</v>
      </c>
      <c r="I50" s="61"/>
    </row>
    <row r="51" spans="1:9" ht="14.25" customHeight="1" x14ac:dyDescent="0.3">
      <c r="A51" s="40" t="s">
        <v>535</v>
      </c>
      <c r="B51" s="41" t="s">
        <v>53</v>
      </c>
      <c r="C51" s="42">
        <v>5517</v>
      </c>
      <c r="D51" s="42">
        <v>575</v>
      </c>
      <c r="E51" s="42">
        <v>460228</v>
      </c>
      <c r="F51" s="43">
        <f t="shared" si="0"/>
        <v>1.07381558705685E-2</v>
      </c>
      <c r="G51" s="60">
        <v>29.45844233727631</v>
      </c>
      <c r="H51" s="44">
        <v>20258</v>
      </c>
      <c r="I51" s="61"/>
    </row>
    <row r="52" spans="1:9" ht="14.25" customHeight="1" x14ac:dyDescent="0.3">
      <c r="A52" s="40" t="s">
        <v>536</v>
      </c>
      <c r="B52" s="41" t="s">
        <v>26</v>
      </c>
      <c r="C52" s="42">
        <v>8870</v>
      </c>
      <c r="D52" s="42">
        <v>509</v>
      </c>
      <c r="E52" s="42">
        <v>480320</v>
      </c>
      <c r="F52" s="43">
        <f t="shared" si="0"/>
        <v>1.7407145236508995E-2</v>
      </c>
      <c r="G52" s="60">
        <v>25.077864756828781</v>
      </c>
      <c r="H52" s="44">
        <v>15469</v>
      </c>
      <c r="I52" s="61"/>
    </row>
    <row r="53" spans="1:9" ht="14.25" customHeight="1" x14ac:dyDescent="0.3">
      <c r="A53" s="40" t="s">
        <v>536</v>
      </c>
      <c r="B53" s="41" t="s">
        <v>53</v>
      </c>
      <c r="C53" s="42">
        <v>6693</v>
      </c>
      <c r="D53" s="42">
        <v>995</v>
      </c>
      <c r="E53" s="42">
        <v>486018</v>
      </c>
      <c r="F53" s="43">
        <f t="shared" si="0"/>
        <v>1.1723845618886543E-2</v>
      </c>
      <c r="G53" s="60">
        <v>23.761877132122681</v>
      </c>
      <c r="H53" s="44">
        <v>38854</v>
      </c>
      <c r="I53" s="61"/>
    </row>
    <row r="54" spans="1:9" ht="14.25" customHeight="1" x14ac:dyDescent="0.3">
      <c r="A54" s="40" t="s">
        <v>537</v>
      </c>
      <c r="B54" s="41" t="s">
        <v>21</v>
      </c>
      <c r="C54" s="42">
        <v>2549</v>
      </c>
      <c r="D54" s="42">
        <v>128</v>
      </c>
      <c r="E54" s="42">
        <v>492814</v>
      </c>
      <c r="F54" s="43">
        <f t="shared" si="0"/>
        <v>4.9126039438814641E-3</v>
      </c>
      <c r="G54" s="60">
        <v>12.734216154573531</v>
      </c>
      <c r="H54" s="44">
        <v>43937</v>
      </c>
      <c r="I54" s="61"/>
    </row>
    <row r="55" spans="1:9" ht="14.25" customHeight="1" x14ac:dyDescent="0.3">
      <c r="A55" s="40" t="s">
        <v>537</v>
      </c>
      <c r="B55" s="41" t="s">
        <v>14</v>
      </c>
      <c r="C55" s="42">
        <v>7140</v>
      </c>
      <c r="D55" s="42">
        <v>939</v>
      </c>
      <c r="E55" s="42">
        <v>499015</v>
      </c>
      <c r="F55" s="43">
        <f t="shared" si="0"/>
        <v>1.2426480165926877E-2</v>
      </c>
      <c r="G55" s="60">
        <v>25.120888149654821</v>
      </c>
      <c r="H55" s="44">
        <v>43598</v>
      </c>
      <c r="I55" s="61"/>
    </row>
    <row r="56" spans="1:9" ht="14.25" customHeight="1" x14ac:dyDescent="0.3">
      <c r="A56" s="40" t="s">
        <v>537</v>
      </c>
      <c r="B56" s="41" t="s">
        <v>26</v>
      </c>
      <c r="C56" s="42">
        <v>5481</v>
      </c>
      <c r="D56" s="42">
        <v>673</v>
      </c>
      <c r="E56" s="42">
        <v>507970</v>
      </c>
      <c r="F56" s="43">
        <f t="shared" si="0"/>
        <v>9.4651258932614123E-3</v>
      </c>
      <c r="G56" s="60">
        <v>13.08758391243577</v>
      </c>
      <c r="H56" s="44">
        <v>29194</v>
      </c>
      <c r="I56" s="61"/>
    </row>
    <row r="57" spans="1:9" ht="14.25" customHeight="1" x14ac:dyDescent="0.3">
      <c r="A57" s="40" t="s">
        <v>538</v>
      </c>
      <c r="B57" s="41" t="s">
        <v>53</v>
      </c>
      <c r="C57" s="42">
        <v>8898</v>
      </c>
      <c r="D57" s="42">
        <v>1131</v>
      </c>
      <c r="E57" s="42">
        <v>515737</v>
      </c>
      <c r="F57" s="43">
        <f t="shared" si="0"/>
        <v>1.5060001512398761E-2</v>
      </c>
      <c r="G57" s="60">
        <v>2.1877429775253669</v>
      </c>
      <c r="H57" s="44">
        <v>35051</v>
      </c>
      <c r="I57" s="61"/>
    </row>
    <row r="58" spans="1:9" ht="14.25" customHeight="1" x14ac:dyDescent="0.3">
      <c r="A58" s="40" t="s">
        <v>538</v>
      </c>
      <c r="B58" s="41" t="s">
        <v>14</v>
      </c>
      <c r="C58" s="42">
        <v>7548</v>
      </c>
      <c r="D58" s="42">
        <v>433</v>
      </c>
      <c r="E58" s="42">
        <v>522852</v>
      </c>
      <c r="F58" s="43">
        <f t="shared" si="0"/>
        <v>1.3608057347012157E-2</v>
      </c>
      <c r="G58" s="60">
        <v>8.3562843787534522</v>
      </c>
      <c r="H58" s="44">
        <v>37386</v>
      </c>
      <c r="I58" s="61"/>
    </row>
    <row r="59" spans="1:9" ht="14.25" customHeight="1" x14ac:dyDescent="0.3">
      <c r="A59" s="40" t="s">
        <v>138</v>
      </c>
      <c r="B59" s="41" t="s">
        <v>26</v>
      </c>
      <c r="C59" s="42">
        <v>8758</v>
      </c>
      <c r="D59" s="42">
        <v>1193</v>
      </c>
      <c r="E59" s="42">
        <v>538906</v>
      </c>
      <c r="F59" s="43">
        <f t="shared" si="0"/>
        <v>1.4037698596786824E-2</v>
      </c>
      <c r="G59" s="60">
        <v>3.4213758985797149</v>
      </c>
      <c r="H59" s="44">
        <v>26184</v>
      </c>
      <c r="I59" s="61"/>
    </row>
    <row r="60" spans="1:9" ht="14.25" customHeight="1" x14ac:dyDescent="0.3">
      <c r="A60" s="40" t="s">
        <v>138</v>
      </c>
      <c r="B60" s="41" t="s">
        <v>14</v>
      </c>
      <c r="C60" s="42">
        <v>7793</v>
      </c>
      <c r="D60" s="42">
        <v>875</v>
      </c>
      <c r="E60" s="42">
        <v>545824</v>
      </c>
      <c r="F60" s="43">
        <f t="shared" si="0"/>
        <v>1.267441519610717E-2</v>
      </c>
      <c r="G60" s="60">
        <v>5.5136820660139527</v>
      </c>
      <c r="H60" s="44">
        <v>43787</v>
      </c>
      <c r="I60" s="61"/>
    </row>
    <row r="61" spans="1:9" ht="14.25" customHeight="1" x14ac:dyDescent="0.3">
      <c r="A61" s="40" t="s">
        <v>169</v>
      </c>
      <c r="B61" s="41" t="s">
        <v>14</v>
      </c>
      <c r="C61" s="42">
        <v>7007</v>
      </c>
      <c r="D61" s="42">
        <v>568</v>
      </c>
      <c r="E61" s="42">
        <v>568671</v>
      </c>
      <c r="F61" s="43">
        <f t="shared" si="0"/>
        <v>1.1322891443382905E-2</v>
      </c>
      <c r="G61" s="60">
        <v>11.50507059442103</v>
      </c>
      <c r="H61" s="44">
        <v>22448</v>
      </c>
      <c r="I61" s="61"/>
    </row>
    <row r="62" spans="1:9" ht="14.25" customHeight="1" x14ac:dyDescent="0.3">
      <c r="A62" s="40" t="s">
        <v>169</v>
      </c>
      <c r="B62" s="41" t="s">
        <v>21</v>
      </c>
      <c r="C62" s="42">
        <v>7356</v>
      </c>
      <c r="D62" s="42">
        <v>904</v>
      </c>
      <c r="E62" s="42">
        <v>581126</v>
      </c>
      <c r="F62" s="43">
        <f t="shared" si="0"/>
        <v>1.1102583604932494E-2</v>
      </c>
      <c r="G62" s="60">
        <v>17.560907617280929</v>
      </c>
      <c r="H62" s="44">
        <v>44051</v>
      </c>
      <c r="I62" s="61"/>
    </row>
    <row r="63" spans="1:9" ht="14.25" customHeight="1" x14ac:dyDescent="0.3">
      <c r="A63" s="40" t="s">
        <v>242</v>
      </c>
      <c r="B63" s="41" t="s">
        <v>53</v>
      </c>
      <c r="C63" s="42">
        <v>8380</v>
      </c>
      <c r="D63" s="42">
        <v>1162</v>
      </c>
      <c r="E63" s="42">
        <v>596704</v>
      </c>
      <c r="F63" s="43">
        <f t="shared" si="0"/>
        <v>1.2096449831072022E-2</v>
      </c>
      <c r="G63" s="60">
        <v>18.05853488496809</v>
      </c>
      <c r="H63" s="44">
        <v>40447</v>
      </c>
      <c r="I63" s="61"/>
    </row>
    <row r="64" spans="1:9" ht="14.25" customHeight="1" x14ac:dyDescent="0.3">
      <c r="A64" s="40" t="s">
        <v>242</v>
      </c>
      <c r="B64" s="41" t="s">
        <v>14</v>
      </c>
      <c r="C64" s="42">
        <v>3385</v>
      </c>
      <c r="D64" s="42">
        <v>329</v>
      </c>
      <c r="E64" s="42">
        <v>599760</v>
      </c>
      <c r="F64" s="43">
        <f t="shared" si="0"/>
        <v>5.0953714819261036E-3</v>
      </c>
      <c r="G64" s="60">
        <v>17.61788048552755</v>
      </c>
      <c r="H64" s="44">
        <v>28394</v>
      </c>
      <c r="I64" s="61"/>
    </row>
    <row r="65" spans="1:9" ht="14.25" customHeight="1" x14ac:dyDescent="0.3">
      <c r="A65" s="40" t="s">
        <v>242</v>
      </c>
      <c r="B65" s="41" t="s">
        <v>21</v>
      </c>
      <c r="C65" s="42">
        <v>5268</v>
      </c>
      <c r="D65" s="42">
        <v>326</v>
      </c>
      <c r="E65" s="42">
        <v>604702</v>
      </c>
      <c r="F65" s="43">
        <f t="shared" si="0"/>
        <v>8.1726205635172366E-3</v>
      </c>
      <c r="G65" s="60">
        <v>23.435841125050029</v>
      </c>
      <c r="H65" s="44">
        <v>44501</v>
      </c>
      <c r="I65" s="61"/>
    </row>
    <row r="66" spans="1:9" ht="14.25" customHeight="1" x14ac:dyDescent="0.3">
      <c r="A66" s="40" t="s">
        <v>539</v>
      </c>
      <c r="B66" s="41" t="s">
        <v>53</v>
      </c>
      <c r="C66" s="42">
        <v>1163</v>
      </c>
      <c r="D66" s="42">
        <v>146</v>
      </c>
      <c r="E66" s="42">
        <v>607188</v>
      </c>
      <c r="F66" s="43">
        <f>(C66-D66)/E66</f>
        <v>1.6749342872388782E-3</v>
      </c>
      <c r="G66" s="60">
        <v>21.77776899411715</v>
      </c>
      <c r="H66" s="44">
        <v>28509</v>
      </c>
      <c r="I66" s="61"/>
    </row>
    <row r="67" spans="1:9" ht="14.25" customHeight="1" x14ac:dyDescent="0.3">
      <c r="A67" s="40" t="s">
        <v>539</v>
      </c>
      <c r="B67" s="41" t="s">
        <v>21</v>
      </c>
      <c r="C67" s="42">
        <v>5592</v>
      </c>
      <c r="D67" s="42">
        <v>710</v>
      </c>
      <c r="E67" s="42">
        <v>620702</v>
      </c>
      <c r="F67" s="43">
        <f t="shared" si="0"/>
        <v>7.8652880126050834E-3</v>
      </c>
      <c r="G67" s="60">
        <v>9.07118069540617</v>
      </c>
      <c r="H67" s="44">
        <v>24472</v>
      </c>
      <c r="I67" s="61"/>
    </row>
    <row r="68" spans="1:9" ht="14.25" customHeight="1" x14ac:dyDescent="0.3">
      <c r="A68" s="40" t="s">
        <v>539</v>
      </c>
      <c r="B68" s="41" t="s">
        <v>14</v>
      </c>
      <c r="C68" s="42">
        <v>5795</v>
      </c>
      <c r="D68" s="42">
        <v>575</v>
      </c>
      <c r="E68" s="42">
        <v>625922</v>
      </c>
      <c r="F68" s="43">
        <f t="shared" ref="F68:F82" si="1">(C68-D68)/E68</f>
        <v>8.3396972785746461E-3</v>
      </c>
      <c r="G68" s="60">
        <v>3.0908004511744269</v>
      </c>
      <c r="H68" s="44">
        <v>55657</v>
      </c>
      <c r="I68" s="61"/>
    </row>
    <row r="69" spans="1:9" ht="14.25" customHeight="1" x14ac:dyDescent="0.3">
      <c r="A69" s="40" t="s">
        <v>62</v>
      </c>
      <c r="B69" s="41" t="s">
        <v>26</v>
      </c>
      <c r="C69" s="42">
        <v>5798</v>
      </c>
      <c r="D69" s="42">
        <v>592</v>
      </c>
      <c r="E69" s="42">
        <v>631128</v>
      </c>
      <c r="F69" s="43">
        <f t="shared" si="1"/>
        <v>8.2487229214992831E-3</v>
      </c>
      <c r="G69" s="60">
        <v>1.6774727155188811</v>
      </c>
      <c r="H69" s="44">
        <v>13471</v>
      </c>
      <c r="I69" s="61"/>
    </row>
    <row r="70" spans="1:9" ht="14.25" customHeight="1" x14ac:dyDescent="0.3">
      <c r="A70" s="40" t="s">
        <v>62</v>
      </c>
      <c r="B70" s="41" t="s">
        <v>53</v>
      </c>
      <c r="C70" s="42">
        <v>7036</v>
      </c>
      <c r="D70" s="42">
        <v>652</v>
      </c>
      <c r="E70" s="42">
        <v>637512</v>
      </c>
      <c r="F70" s="43">
        <f t="shared" si="1"/>
        <v>1.0013929149568949E-2</v>
      </c>
      <c r="G70" s="60">
        <v>3.5705994553828009</v>
      </c>
      <c r="H70" s="44">
        <v>51796</v>
      </c>
      <c r="I70" s="61"/>
    </row>
    <row r="71" spans="1:9" ht="14.25" customHeight="1" x14ac:dyDescent="0.3">
      <c r="A71" s="40" t="s">
        <v>62</v>
      </c>
      <c r="B71" s="41" t="s">
        <v>21</v>
      </c>
      <c r="C71" s="42">
        <v>3355</v>
      </c>
      <c r="D71" s="42">
        <v>176</v>
      </c>
      <c r="E71" s="42">
        <v>640691</v>
      </c>
      <c r="F71" s="43">
        <f t="shared" si="1"/>
        <v>4.9618302738761748E-3</v>
      </c>
      <c r="G71" s="60">
        <v>12.426427091999111</v>
      </c>
      <c r="H71" s="44">
        <v>40268</v>
      </c>
      <c r="I71" s="61"/>
    </row>
    <row r="72" spans="1:9" ht="14.25" customHeight="1" x14ac:dyDescent="0.3">
      <c r="A72" s="40" t="s">
        <v>461</v>
      </c>
      <c r="B72" s="41" t="s">
        <v>26</v>
      </c>
      <c r="C72" s="42">
        <v>8961</v>
      </c>
      <c r="D72" s="42">
        <v>476</v>
      </c>
      <c r="E72" s="42">
        <v>655645</v>
      </c>
      <c r="F72" s="43">
        <f t="shared" si="1"/>
        <v>1.2941454598143812E-2</v>
      </c>
      <c r="G72" s="60">
        <v>15.458517947974901</v>
      </c>
      <c r="H72" s="44">
        <v>44865</v>
      </c>
      <c r="I72" s="61"/>
    </row>
    <row r="73" spans="1:9" ht="14.25" customHeight="1" x14ac:dyDescent="0.3">
      <c r="A73" s="40" t="s">
        <v>461</v>
      </c>
      <c r="B73" s="41" t="s">
        <v>21</v>
      </c>
      <c r="C73" s="42">
        <v>9737</v>
      </c>
      <c r="D73" s="42">
        <v>792</v>
      </c>
      <c r="E73" s="42">
        <v>670642</v>
      </c>
      <c r="F73" s="43">
        <f t="shared" si="1"/>
        <v>1.3337965710468476E-2</v>
      </c>
      <c r="G73" s="60">
        <v>5.301785453341723</v>
      </c>
      <c r="H73" s="44">
        <v>56698</v>
      </c>
      <c r="I73" s="61"/>
    </row>
    <row r="74" spans="1:9" ht="14.25" customHeight="1" x14ac:dyDescent="0.3">
      <c r="A74" s="40" t="s">
        <v>461</v>
      </c>
      <c r="B74" s="41" t="s">
        <v>14</v>
      </c>
      <c r="C74" s="42">
        <v>5719</v>
      </c>
      <c r="D74" s="42">
        <v>576</v>
      </c>
      <c r="E74" s="42">
        <v>675785</v>
      </c>
      <c r="F74" s="43">
        <f t="shared" si="1"/>
        <v>7.6104086358827145E-3</v>
      </c>
      <c r="G74" s="60">
        <v>10.21656296011305</v>
      </c>
      <c r="H74" s="44">
        <v>38272</v>
      </c>
      <c r="I74" s="61"/>
    </row>
    <row r="75" spans="1:9" ht="14.25" customHeight="1" x14ac:dyDescent="0.3">
      <c r="A75" s="40" t="s">
        <v>540</v>
      </c>
      <c r="B75" s="41" t="s">
        <v>26</v>
      </c>
      <c r="C75" s="42">
        <v>1593</v>
      </c>
      <c r="D75" s="42">
        <v>224</v>
      </c>
      <c r="E75" s="42">
        <v>677154</v>
      </c>
      <c r="F75" s="43">
        <f t="shared" si="1"/>
        <v>2.0216966893793729E-3</v>
      </c>
      <c r="G75" s="60">
        <v>4.1495730660972248</v>
      </c>
      <c r="H75" s="44">
        <v>52845</v>
      </c>
      <c r="I75" s="61"/>
    </row>
    <row r="76" spans="1:9" ht="14.25" customHeight="1" x14ac:dyDescent="0.3">
      <c r="A76" s="40" t="s">
        <v>540</v>
      </c>
      <c r="B76" s="41" t="s">
        <v>21</v>
      </c>
      <c r="C76" s="42">
        <v>5839</v>
      </c>
      <c r="D76" s="42">
        <v>437</v>
      </c>
      <c r="E76" s="42">
        <v>682556</v>
      </c>
      <c r="F76" s="43">
        <f t="shared" si="1"/>
        <v>7.9143689309009082E-3</v>
      </c>
      <c r="G76" s="60">
        <v>17.44750613869045</v>
      </c>
      <c r="H76" s="44">
        <v>16397</v>
      </c>
      <c r="I76" s="61"/>
    </row>
    <row r="77" spans="1:9" ht="14.25" customHeight="1" x14ac:dyDescent="0.3">
      <c r="A77" s="40" t="s">
        <v>540</v>
      </c>
      <c r="B77" s="41" t="s">
        <v>14</v>
      </c>
      <c r="C77" s="42">
        <v>4493</v>
      </c>
      <c r="D77" s="42">
        <v>564</v>
      </c>
      <c r="E77" s="42">
        <v>694115</v>
      </c>
      <c r="F77" s="43">
        <f t="shared" si="1"/>
        <v>5.660445315257558E-3</v>
      </c>
      <c r="G77" s="60">
        <v>16.625487131094989</v>
      </c>
      <c r="H77" s="44">
        <v>45525</v>
      </c>
      <c r="I77" s="61"/>
    </row>
    <row r="78" spans="1:9" ht="14.25" customHeight="1" x14ac:dyDescent="0.3">
      <c r="A78" s="40" t="s">
        <v>187</v>
      </c>
      <c r="B78" s="41" t="s">
        <v>53</v>
      </c>
      <c r="C78" s="42">
        <v>7164</v>
      </c>
      <c r="D78" s="42">
        <v>522</v>
      </c>
      <c r="E78" s="42">
        <v>700757</v>
      </c>
      <c r="F78" s="43">
        <f t="shared" si="1"/>
        <v>9.4783213011072308E-3</v>
      </c>
      <c r="G78" s="60">
        <v>13.449169969047761</v>
      </c>
      <c r="H78" s="44">
        <v>34570</v>
      </c>
      <c r="I78" s="61"/>
    </row>
    <row r="79" spans="1:9" ht="14.25" customHeight="1" x14ac:dyDescent="0.3">
      <c r="A79" s="40" t="s">
        <v>187</v>
      </c>
      <c r="B79" s="41" t="s">
        <v>26</v>
      </c>
      <c r="C79" s="42">
        <v>3672</v>
      </c>
      <c r="D79" s="42">
        <v>211</v>
      </c>
      <c r="E79" s="42">
        <v>704218</v>
      </c>
      <c r="F79" s="43">
        <f t="shared" si="1"/>
        <v>4.9146713091684675E-3</v>
      </c>
      <c r="G79" s="60">
        <v>12.35057894004413</v>
      </c>
      <c r="H79" s="44">
        <v>28284</v>
      </c>
      <c r="I79" s="61"/>
    </row>
    <row r="80" spans="1:9" ht="14.25" customHeight="1" x14ac:dyDescent="0.3">
      <c r="A80" s="40" t="s">
        <v>187</v>
      </c>
      <c r="B80" s="41" t="s">
        <v>14</v>
      </c>
      <c r="C80" s="42">
        <v>5200</v>
      </c>
      <c r="D80" s="42">
        <v>410</v>
      </c>
      <c r="E80" s="42">
        <v>709008</v>
      </c>
      <c r="F80" s="43">
        <f t="shared" si="1"/>
        <v>6.7559181278631555E-3</v>
      </c>
      <c r="G80" s="60">
        <v>12.913394489201821</v>
      </c>
      <c r="H80" s="44">
        <v>28994</v>
      </c>
      <c r="I80" s="61"/>
    </row>
    <row r="81" spans="1:9" ht="14.25" customHeight="1" x14ac:dyDescent="0.3">
      <c r="A81" s="40" t="s">
        <v>187</v>
      </c>
      <c r="B81" s="41" t="s">
        <v>21</v>
      </c>
      <c r="C81" s="42">
        <v>1016</v>
      </c>
      <c r="D81" s="42">
        <v>67</v>
      </c>
      <c r="E81" s="42">
        <v>709957</v>
      </c>
      <c r="F81" s="43">
        <f t="shared" si="1"/>
        <v>1.3367006734210664E-3</v>
      </c>
      <c r="G81" s="60">
        <v>20.774215903216671</v>
      </c>
      <c r="H81" s="44">
        <v>33284</v>
      </c>
      <c r="I81" s="61"/>
    </row>
    <row r="82" spans="1:9" ht="14.25" customHeight="1" x14ac:dyDescent="0.3">
      <c r="A82" s="40" t="s">
        <v>97</v>
      </c>
      <c r="B82" s="41" t="s">
        <v>26</v>
      </c>
      <c r="C82" s="42">
        <v>4191</v>
      </c>
      <c r="D82" s="42">
        <v>599</v>
      </c>
      <c r="E82" s="42">
        <v>713549</v>
      </c>
      <c r="F82" s="43">
        <f t="shared" si="1"/>
        <v>5.033992059410076E-3</v>
      </c>
      <c r="G82" s="60">
        <v>11.56416728213479</v>
      </c>
      <c r="H82" s="44">
        <v>27833</v>
      </c>
      <c r="I82" s="61"/>
    </row>
    <row r="83" spans="1:9" ht="14.25" customHeight="1" x14ac:dyDescent="0.3">
      <c r="A83" s="40" t="s">
        <v>97</v>
      </c>
      <c r="B83" s="41" t="s">
        <v>21</v>
      </c>
      <c r="C83" s="42">
        <v>9616</v>
      </c>
      <c r="D83" s="42">
        <v>1089</v>
      </c>
      <c r="E83" s="42">
        <v>723286</v>
      </c>
      <c r="F83" s="43">
        <f>(C83-D83)/E83</f>
        <v>1.178925072516266E-2</v>
      </c>
      <c r="G83" s="60">
        <v>19.25863351426683</v>
      </c>
      <c r="H83" s="44">
        <v>15017</v>
      </c>
      <c r="I83" s="61"/>
    </row>
    <row r="84" spans="1:9" ht="14.25" customHeight="1" x14ac:dyDescent="0.3">
      <c r="A84" s="40" t="s">
        <v>97</v>
      </c>
      <c r="B84" s="41" t="s">
        <v>53</v>
      </c>
      <c r="C84" s="42">
        <v>7272</v>
      </c>
      <c r="D84" s="42">
        <v>997</v>
      </c>
      <c r="E84" s="42">
        <v>729561</v>
      </c>
      <c r="F84" s="43">
        <f t="shared" ref="F84:F107" si="2">(C84-D84)/E84</f>
        <v>8.6010628309353167E-3</v>
      </c>
      <c r="G84" s="60">
        <v>13.428486445958599</v>
      </c>
      <c r="H84" s="44">
        <v>26370</v>
      </c>
      <c r="I84" s="61"/>
    </row>
    <row r="85" spans="1:9" ht="14.25" customHeight="1" x14ac:dyDescent="0.3">
      <c r="A85" s="40" t="s">
        <v>15</v>
      </c>
      <c r="B85" s="41" t="s">
        <v>21</v>
      </c>
      <c r="C85" s="42">
        <v>1571</v>
      </c>
      <c r="D85" s="42">
        <v>204</v>
      </c>
      <c r="E85" s="42">
        <v>730928</v>
      </c>
      <c r="F85" s="43">
        <f t="shared" si="2"/>
        <v>1.8702252479040344E-3</v>
      </c>
      <c r="G85" s="60">
        <v>19.449384891535139</v>
      </c>
      <c r="H85" s="44">
        <v>39252</v>
      </c>
      <c r="I85" s="61"/>
    </row>
    <row r="86" spans="1:9" ht="14.25" customHeight="1" x14ac:dyDescent="0.3">
      <c r="A86" s="40" t="s">
        <v>15</v>
      </c>
      <c r="B86" s="41" t="s">
        <v>26</v>
      </c>
      <c r="C86" s="42">
        <v>4631</v>
      </c>
      <c r="D86" s="42">
        <v>317</v>
      </c>
      <c r="E86" s="42">
        <v>735242</v>
      </c>
      <c r="F86" s="43">
        <f t="shared" si="2"/>
        <v>5.8674558852731479E-3</v>
      </c>
      <c r="G86" s="60">
        <v>1.381177897889402</v>
      </c>
      <c r="H86" s="44">
        <v>17999</v>
      </c>
      <c r="I86" s="61"/>
    </row>
    <row r="87" spans="1:9" ht="14.25" customHeight="1" x14ac:dyDescent="0.3">
      <c r="A87" s="40" t="s">
        <v>15</v>
      </c>
      <c r="B87" s="41" t="s">
        <v>14</v>
      </c>
      <c r="C87" s="42">
        <v>8177</v>
      </c>
      <c r="D87" s="42">
        <v>849</v>
      </c>
      <c r="E87" s="42">
        <v>748744</v>
      </c>
      <c r="F87" s="43">
        <f t="shared" si="2"/>
        <v>9.7870567243276748E-3</v>
      </c>
      <c r="G87" s="60">
        <v>10.34986590877523</v>
      </c>
      <c r="H87" s="44">
        <v>52963</v>
      </c>
      <c r="I87" s="61"/>
    </row>
    <row r="88" spans="1:9" ht="14.25" customHeight="1" x14ac:dyDescent="0.3">
      <c r="A88" s="40" t="s">
        <v>541</v>
      </c>
      <c r="B88" s="41" t="s">
        <v>21</v>
      </c>
      <c r="C88" s="42">
        <v>9433</v>
      </c>
      <c r="D88" s="42">
        <v>1233</v>
      </c>
      <c r="E88" s="42">
        <v>756944</v>
      </c>
      <c r="F88" s="43">
        <f t="shared" si="2"/>
        <v>1.0833033883616226E-2</v>
      </c>
      <c r="G88" s="60">
        <v>11.391727789638329</v>
      </c>
      <c r="H88" s="44">
        <v>12096</v>
      </c>
      <c r="I88" s="61"/>
    </row>
    <row r="89" spans="1:9" ht="14.25" customHeight="1" x14ac:dyDescent="0.3">
      <c r="A89" s="40" t="s">
        <v>541</v>
      </c>
      <c r="B89" s="41" t="s">
        <v>26</v>
      </c>
      <c r="C89" s="42">
        <v>4897</v>
      </c>
      <c r="D89" s="42">
        <v>683</v>
      </c>
      <c r="E89" s="42">
        <v>761158</v>
      </c>
      <c r="F89" s="43">
        <f t="shared" si="2"/>
        <v>5.5363012672795921E-3</v>
      </c>
      <c r="G89" s="60">
        <v>15.06231294947961</v>
      </c>
      <c r="H89" s="44">
        <v>58201</v>
      </c>
      <c r="I89" s="61"/>
    </row>
    <row r="90" spans="1:9" ht="14.25" customHeight="1" x14ac:dyDescent="0.3">
      <c r="A90" s="40" t="s">
        <v>541</v>
      </c>
      <c r="B90" s="41" t="s">
        <v>53</v>
      </c>
      <c r="C90" s="42">
        <v>3279</v>
      </c>
      <c r="D90" s="42">
        <v>200</v>
      </c>
      <c r="E90" s="42">
        <v>772614</v>
      </c>
      <c r="F90" s="43">
        <f t="shared" si="2"/>
        <v>3.9851724146857288E-3</v>
      </c>
      <c r="G90" s="60">
        <v>5.0212654702089274</v>
      </c>
      <c r="H90" s="44">
        <v>53363</v>
      </c>
      <c r="I90" s="61"/>
    </row>
    <row r="91" spans="1:9" ht="14.25" customHeight="1" x14ac:dyDescent="0.3">
      <c r="A91" s="40" t="s">
        <v>107</v>
      </c>
      <c r="B91" s="41" t="s">
        <v>21</v>
      </c>
      <c r="C91" s="42">
        <v>9980</v>
      </c>
      <c r="D91" s="42">
        <v>726</v>
      </c>
      <c r="E91" s="42">
        <v>781868</v>
      </c>
      <c r="F91" s="43">
        <f t="shared" si="2"/>
        <v>1.1835757442432739E-2</v>
      </c>
      <c r="G91" s="60">
        <v>4.0220344099003924</v>
      </c>
      <c r="H91" s="44">
        <v>58709</v>
      </c>
      <c r="I91" s="61"/>
    </row>
    <row r="92" spans="1:9" ht="14.25" customHeight="1" x14ac:dyDescent="0.3">
      <c r="A92" s="40" t="s">
        <v>107</v>
      </c>
      <c r="B92" s="41" t="s">
        <v>53</v>
      </c>
      <c r="C92" s="42">
        <v>8451</v>
      </c>
      <c r="D92" s="42">
        <v>783</v>
      </c>
      <c r="E92" s="42">
        <v>789536</v>
      </c>
      <c r="F92" s="43">
        <f t="shared" si="2"/>
        <v>9.7120333968305442E-3</v>
      </c>
      <c r="G92" s="60">
        <v>12.407287318121019</v>
      </c>
      <c r="H92" s="44">
        <v>36201</v>
      </c>
      <c r="I92" s="61"/>
    </row>
    <row r="93" spans="1:9" ht="14.25" customHeight="1" x14ac:dyDescent="0.3">
      <c r="A93" s="40" t="s">
        <v>107</v>
      </c>
      <c r="B93" s="41" t="s">
        <v>14</v>
      </c>
      <c r="C93" s="42">
        <v>9906</v>
      </c>
      <c r="D93" s="42">
        <v>1305</v>
      </c>
      <c r="E93" s="42">
        <v>798137</v>
      </c>
      <c r="F93" s="43">
        <f t="shared" si="2"/>
        <v>1.0776345414383746E-2</v>
      </c>
      <c r="G93" s="60">
        <v>9.1811305577864442</v>
      </c>
      <c r="H93" s="44">
        <v>29715</v>
      </c>
      <c r="I93" s="61"/>
    </row>
    <row r="94" spans="1:9" ht="14.25" customHeight="1" x14ac:dyDescent="0.3">
      <c r="A94" s="40" t="s">
        <v>542</v>
      </c>
      <c r="B94" s="41" t="s">
        <v>21</v>
      </c>
      <c r="C94" s="42">
        <v>7869</v>
      </c>
      <c r="D94" s="42">
        <v>398</v>
      </c>
      <c r="E94" s="42">
        <v>807142</v>
      </c>
      <c r="F94" s="43">
        <f t="shared" si="2"/>
        <v>9.2561160241940079E-3</v>
      </c>
      <c r="G94" s="60">
        <v>15.211945357818079</v>
      </c>
      <c r="H94" s="44">
        <v>25078</v>
      </c>
      <c r="I94" s="61"/>
    </row>
    <row r="95" spans="1:9" ht="14.25" customHeight="1" x14ac:dyDescent="0.3">
      <c r="A95" s="40" t="s">
        <v>542</v>
      </c>
      <c r="B95" s="41" t="s">
        <v>26</v>
      </c>
      <c r="C95" s="42">
        <v>3247</v>
      </c>
      <c r="D95" s="42">
        <v>328</v>
      </c>
      <c r="E95" s="42">
        <v>810061</v>
      </c>
      <c r="F95" s="43">
        <f t="shared" si="2"/>
        <v>3.6034323341081723E-3</v>
      </c>
      <c r="G95" s="60">
        <v>13.941172331466399</v>
      </c>
      <c r="H95" s="44">
        <v>15105</v>
      </c>
      <c r="I95" s="61"/>
    </row>
    <row r="96" spans="1:9" ht="14.25" customHeight="1" x14ac:dyDescent="0.3">
      <c r="A96" s="40" t="s">
        <v>542</v>
      </c>
      <c r="B96" s="41" t="s">
        <v>53</v>
      </c>
      <c r="C96" s="42">
        <v>8088</v>
      </c>
      <c r="D96" s="42">
        <v>742</v>
      </c>
      <c r="E96" s="42">
        <v>817407</v>
      </c>
      <c r="F96" s="43">
        <f t="shared" si="2"/>
        <v>8.9869550909155421E-3</v>
      </c>
      <c r="G96" s="60">
        <v>14.664542877660701</v>
      </c>
      <c r="H96" s="44">
        <v>39312</v>
      </c>
      <c r="I96" s="61"/>
    </row>
    <row r="97" spans="1:9" ht="14.25" customHeight="1" x14ac:dyDescent="0.3">
      <c r="A97" s="40" t="s">
        <v>542</v>
      </c>
      <c r="B97" s="41" t="s">
        <v>14</v>
      </c>
      <c r="C97" s="42">
        <v>1078</v>
      </c>
      <c r="D97" s="42">
        <v>77</v>
      </c>
      <c r="E97" s="42">
        <v>818408</v>
      </c>
      <c r="F97" s="43">
        <f t="shared" si="2"/>
        <v>1.2231063234963489E-3</v>
      </c>
      <c r="G97" s="60">
        <v>18.236747441373989</v>
      </c>
      <c r="H97" s="44">
        <v>12839</v>
      </c>
      <c r="I97" s="61"/>
    </row>
    <row r="98" spans="1:9" ht="14.25" customHeight="1" x14ac:dyDescent="0.3">
      <c r="A98" s="40" t="s">
        <v>543</v>
      </c>
      <c r="B98" s="41" t="s">
        <v>53</v>
      </c>
      <c r="C98" s="42">
        <v>9080</v>
      </c>
      <c r="D98" s="42">
        <v>562</v>
      </c>
      <c r="E98" s="42">
        <v>826926</v>
      </c>
      <c r="F98" s="43">
        <f t="shared" si="2"/>
        <v>1.0300800797169276E-2</v>
      </c>
      <c r="G98" s="60">
        <v>7.1083748727213809</v>
      </c>
      <c r="H98" s="44">
        <v>13384</v>
      </c>
      <c r="I98" s="61"/>
    </row>
    <row r="99" spans="1:9" ht="14.25" customHeight="1" x14ac:dyDescent="0.3">
      <c r="A99" s="40" t="s">
        <v>543</v>
      </c>
      <c r="B99" s="41" t="s">
        <v>14</v>
      </c>
      <c r="C99" s="42">
        <v>8340</v>
      </c>
      <c r="D99" s="42">
        <v>686</v>
      </c>
      <c r="E99" s="42">
        <v>846217</v>
      </c>
      <c r="F99" s="43">
        <f t="shared" si="2"/>
        <v>9.0449612806171465E-3</v>
      </c>
      <c r="G99" s="60">
        <v>7.201344336027284</v>
      </c>
      <c r="H99" s="44">
        <v>23493</v>
      </c>
      <c r="I99" s="61"/>
    </row>
    <row r="100" spans="1:9" ht="14.25" customHeight="1" x14ac:dyDescent="0.3">
      <c r="A100" s="40" t="s">
        <v>190</v>
      </c>
      <c r="B100" s="41" t="s">
        <v>21</v>
      </c>
      <c r="C100" s="42">
        <v>8083</v>
      </c>
      <c r="D100" s="42">
        <v>823</v>
      </c>
      <c r="E100" s="42">
        <v>853477</v>
      </c>
      <c r="F100" s="43">
        <f t="shared" si="2"/>
        <v>8.5063803711172073E-3</v>
      </c>
      <c r="G100" s="60">
        <v>4.6300017457998282</v>
      </c>
      <c r="H100" s="44">
        <v>27069</v>
      </c>
      <c r="I100" s="61"/>
    </row>
    <row r="101" spans="1:9" ht="14.25" customHeight="1" x14ac:dyDescent="0.3">
      <c r="A101" s="40" t="s">
        <v>190</v>
      </c>
      <c r="B101" s="41" t="s">
        <v>53</v>
      </c>
      <c r="C101" s="42">
        <v>7230</v>
      </c>
      <c r="D101" s="42">
        <v>869</v>
      </c>
      <c r="E101" s="42">
        <v>859838</v>
      </c>
      <c r="F101" s="43">
        <f t="shared" si="2"/>
        <v>7.397905186791E-3</v>
      </c>
      <c r="G101" s="60">
        <v>7.0117859410726204</v>
      </c>
      <c r="H101" s="44">
        <v>56907</v>
      </c>
      <c r="I101" s="61"/>
    </row>
    <row r="102" spans="1:9" ht="14.25" customHeight="1" x14ac:dyDescent="0.3">
      <c r="A102" s="40" t="s">
        <v>190</v>
      </c>
      <c r="B102" s="41" t="s">
        <v>26</v>
      </c>
      <c r="C102" s="42">
        <v>4271</v>
      </c>
      <c r="D102" s="42">
        <v>628</v>
      </c>
      <c r="E102" s="42">
        <v>868909</v>
      </c>
      <c r="F102" s="43">
        <f t="shared" si="2"/>
        <v>4.1926139561219876E-3</v>
      </c>
      <c r="G102" s="60">
        <v>11.124410036033691</v>
      </c>
      <c r="H102" s="44">
        <v>47051</v>
      </c>
      <c r="I102" s="61"/>
    </row>
    <row r="103" spans="1:9" ht="14.25" customHeight="1" x14ac:dyDescent="0.3">
      <c r="A103" s="40" t="s">
        <v>544</v>
      </c>
      <c r="B103" s="41" t="s">
        <v>14</v>
      </c>
      <c r="C103" s="42">
        <v>4456</v>
      </c>
      <c r="D103" s="42">
        <v>651</v>
      </c>
      <c r="E103" s="42">
        <v>872714</v>
      </c>
      <c r="F103" s="43">
        <f t="shared" si="2"/>
        <v>4.3599621410908961E-3</v>
      </c>
      <c r="G103" s="60">
        <v>9.5052903929580594</v>
      </c>
      <c r="H103" s="44">
        <v>17736</v>
      </c>
      <c r="I103" s="61"/>
    </row>
    <row r="104" spans="1:9" ht="14.25" customHeight="1" x14ac:dyDescent="0.3">
      <c r="A104" s="40" t="s">
        <v>544</v>
      </c>
      <c r="B104" s="41" t="s">
        <v>53</v>
      </c>
      <c r="C104" s="42">
        <v>8788</v>
      </c>
      <c r="D104" s="42">
        <v>660</v>
      </c>
      <c r="E104" s="42">
        <v>880842</v>
      </c>
      <c r="F104" s="43">
        <f t="shared" si="2"/>
        <v>9.2275345635199051E-3</v>
      </c>
      <c r="G104" s="60">
        <v>3.7175793161543158</v>
      </c>
      <c r="H104" s="44">
        <v>17710</v>
      </c>
      <c r="I104" s="61"/>
    </row>
    <row r="105" spans="1:9" ht="14.25" customHeight="1" x14ac:dyDescent="0.3">
      <c r="A105" s="40" t="s">
        <v>448</v>
      </c>
      <c r="B105" s="41" t="s">
        <v>21</v>
      </c>
      <c r="C105" s="42">
        <v>3711</v>
      </c>
      <c r="D105" s="42">
        <v>291</v>
      </c>
      <c r="E105" s="42">
        <v>900862</v>
      </c>
      <c r="F105" s="43">
        <f t="shared" si="2"/>
        <v>3.7963639269943676E-3</v>
      </c>
      <c r="G105" s="60">
        <v>14.24879726306582</v>
      </c>
      <c r="H105" s="44">
        <v>55603</v>
      </c>
      <c r="I105" s="61"/>
    </row>
    <row r="106" spans="1:9" ht="14.25" customHeight="1" x14ac:dyDescent="0.3">
      <c r="A106" s="40" t="s">
        <v>448</v>
      </c>
      <c r="B106" s="41" t="s">
        <v>53</v>
      </c>
      <c r="C106" s="42">
        <v>1147</v>
      </c>
      <c r="D106" s="42">
        <v>127</v>
      </c>
      <c r="E106" s="42">
        <v>904407</v>
      </c>
      <c r="F106" s="43">
        <f t="shared" si="2"/>
        <v>1.1278108196862695E-3</v>
      </c>
      <c r="G106" s="60">
        <v>1.3997016829812241</v>
      </c>
      <c r="H106" s="44">
        <v>25261</v>
      </c>
      <c r="I106" s="61"/>
    </row>
    <row r="107" spans="1:9" ht="14.25" customHeight="1" x14ac:dyDescent="0.3">
      <c r="A107" s="40" t="s">
        <v>109</v>
      </c>
      <c r="B107" s="41" t="s">
        <v>53</v>
      </c>
      <c r="C107" s="42">
        <v>1365</v>
      </c>
      <c r="D107" s="42">
        <v>75</v>
      </c>
      <c r="E107" s="42">
        <v>912374</v>
      </c>
      <c r="F107" s="43">
        <f t="shared" si="2"/>
        <v>1.4138938637006315E-3</v>
      </c>
      <c r="G107" s="60">
        <v>9.2688963078737441</v>
      </c>
      <c r="H107" s="44">
        <v>19067</v>
      </c>
      <c r="I107" s="61"/>
    </row>
    <row r="108" spans="1:9" ht="14.25" customHeight="1" x14ac:dyDescent="0.3">
      <c r="A108" s="40" t="s">
        <v>109</v>
      </c>
      <c r="B108" s="41" t="s">
        <v>21</v>
      </c>
      <c r="C108" s="42">
        <v>5531</v>
      </c>
      <c r="D108" s="42">
        <v>430</v>
      </c>
      <c r="E108" s="42">
        <v>917475</v>
      </c>
      <c r="F108" s="43">
        <f>(C108-D108)/E108</f>
        <v>5.5598245183792472E-3</v>
      </c>
      <c r="G108" s="60">
        <v>2.7289026948963189</v>
      </c>
      <c r="H108" s="44">
        <v>47481</v>
      </c>
      <c r="I108" s="61"/>
    </row>
    <row r="109" spans="1:9" ht="14.25" customHeight="1" x14ac:dyDescent="0.3">
      <c r="A109" s="40" t="s">
        <v>109</v>
      </c>
      <c r="B109" s="41" t="s">
        <v>26</v>
      </c>
      <c r="C109" s="42">
        <v>6330</v>
      </c>
      <c r="D109" s="42">
        <v>891</v>
      </c>
      <c r="E109" s="42">
        <v>922914</v>
      </c>
      <c r="F109" s="43">
        <f t="shared" ref="F109:F125" si="3">(C109-D109)/E109</f>
        <v>5.8932901657142486E-3</v>
      </c>
      <c r="G109" s="60">
        <v>14.789893749580139</v>
      </c>
      <c r="H109" s="44">
        <v>37037</v>
      </c>
      <c r="I109" s="61"/>
    </row>
    <row r="110" spans="1:9" ht="14.25" customHeight="1" x14ac:dyDescent="0.3">
      <c r="A110" s="40" t="s">
        <v>122</v>
      </c>
      <c r="B110" s="41" t="s">
        <v>26</v>
      </c>
      <c r="C110" s="42">
        <v>9754</v>
      </c>
      <c r="D110" s="42">
        <v>629</v>
      </c>
      <c r="E110" s="42">
        <v>938068</v>
      </c>
      <c r="F110" s="43">
        <f t="shared" si="3"/>
        <v>9.7274398018054129E-3</v>
      </c>
      <c r="G110" s="60">
        <v>3.4123325814333292</v>
      </c>
      <c r="H110" s="44">
        <v>19435</v>
      </c>
      <c r="I110" s="61"/>
    </row>
    <row r="111" spans="1:9" ht="14.25" customHeight="1" x14ac:dyDescent="0.3">
      <c r="A111" s="40" t="s">
        <v>122</v>
      </c>
      <c r="B111" s="41" t="s">
        <v>14</v>
      </c>
      <c r="C111" s="42">
        <v>9964</v>
      </c>
      <c r="D111" s="42">
        <v>985</v>
      </c>
      <c r="E111" s="42">
        <v>947047</v>
      </c>
      <c r="F111" s="43">
        <f t="shared" si="3"/>
        <v>9.4810500429228957E-3</v>
      </c>
      <c r="G111" s="60">
        <v>1.9837452629066989</v>
      </c>
      <c r="H111" s="44">
        <v>47766</v>
      </c>
      <c r="I111" s="61"/>
    </row>
    <row r="112" spans="1:9" ht="14.25" customHeight="1" x14ac:dyDescent="0.3">
      <c r="A112" s="40" t="s">
        <v>166</v>
      </c>
      <c r="B112" s="41" t="s">
        <v>14</v>
      </c>
      <c r="C112" s="42">
        <v>7511</v>
      </c>
      <c r="D112" s="42">
        <v>880</v>
      </c>
      <c r="E112" s="42">
        <v>966020</v>
      </c>
      <c r="F112" s="43">
        <f t="shared" si="3"/>
        <v>6.8642471170369144E-3</v>
      </c>
      <c r="G112" s="60">
        <v>4.6083932009689246</v>
      </c>
      <c r="H112" s="44">
        <v>29675</v>
      </c>
      <c r="I112" s="61"/>
    </row>
    <row r="113" spans="1:9" ht="14.25" customHeight="1" x14ac:dyDescent="0.3">
      <c r="A113" s="40" t="s">
        <v>166</v>
      </c>
      <c r="B113" s="41" t="s">
        <v>21</v>
      </c>
      <c r="C113" s="42">
        <v>8504</v>
      </c>
      <c r="D113" s="42">
        <v>1072</v>
      </c>
      <c r="E113" s="42">
        <v>973452</v>
      </c>
      <c r="F113" s="43">
        <f t="shared" si="3"/>
        <v>7.6346856342171983E-3</v>
      </c>
      <c r="G113" s="60">
        <v>6.5651927367759271</v>
      </c>
      <c r="H113" s="44">
        <v>18461</v>
      </c>
      <c r="I113" s="61"/>
    </row>
    <row r="114" spans="1:9" ht="14.25" customHeight="1" x14ac:dyDescent="0.3">
      <c r="A114" s="40" t="s">
        <v>166</v>
      </c>
      <c r="B114" s="41" t="s">
        <v>53</v>
      </c>
      <c r="C114" s="42">
        <v>2246</v>
      </c>
      <c r="D114" s="42">
        <v>165</v>
      </c>
      <c r="E114" s="42">
        <v>975533</v>
      </c>
      <c r="F114" s="43">
        <f t="shared" si="3"/>
        <v>2.1331928289458173E-3</v>
      </c>
      <c r="G114" s="60">
        <v>2.9062061457685191</v>
      </c>
      <c r="H114" s="44">
        <v>27015</v>
      </c>
      <c r="I114" s="61"/>
    </row>
    <row r="115" spans="1:9" ht="14.25" customHeight="1" x14ac:dyDescent="0.3">
      <c r="A115" s="40" t="s">
        <v>545</v>
      </c>
      <c r="B115" s="41" t="s">
        <v>53</v>
      </c>
      <c r="C115" s="42">
        <v>9551</v>
      </c>
      <c r="D115" s="42">
        <v>828</v>
      </c>
      <c r="E115" s="42">
        <v>988501</v>
      </c>
      <c r="F115" s="43">
        <f t="shared" si="3"/>
        <v>8.8244726105487E-3</v>
      </c>
      <c r="G115" s="60">
        <v>1.525036393488727</v>
      </c>
      <c r="H115" s="44">
        <v>38047</v>
      </c>
      <c r="I115" s="61"/>
    </row>
    <row r="116" spans="1:9" ht="14.25" customHeight="1" x14ac:dyDescent="0.3">
      <c r="A116" s="40" t="s">
        <v>545</v>
      </c>
      <c r="B116" s="41" t="s">
        <v>26</v>
      </c>
      <c r="C116" s="42">
        <v>3376</v>
      </c>
      <c r="D116" s="42">
        <v>382</v>
      </c>
      <c r="E116" s="42">
        <v>991495</v>
      </c>
      <c r="F116" s="43">
        <f t="shared" si="3"/>
        <v>3.0196823988018094E-3</v>
      </c>
      <c r="G116" s="60">
        <v>3.8694093263203548</v>
      </c>
      <c r="H116" s="44">
        <v>44782</v>
      </c>
      <c r="I116" s="61"/>
    </row>
    <row r="117" spans="1:9" ht="14.25" customHeight="1" x14ac:dyDescent="0.3">
      <c r="A117" s="40" t="s">
        <v>545</v>
      </c>
      <c r="B117" s="41" t="s">
        <v>14</v>
      </c>
      <c r="C117" s="42">
        <v>4009</v>
      </c>
      <c r="D117" s="42">
        <v>454</v>
      </c>
      <c r="E117" s="42">
        <v>995050</v>
      </c>
      <c r="F117" s="43">
        <f t="shared" si="3"/>
        <v>3.5726847897090599E-3</v>
      </c>
      <c r="G117" s="60">
        <v>2.1106477061454201</v>
      </c>
      <c r="H117" s="44">
        <v>19833</v>
      </c>
      <c r="I117" s="61"/>
    </row>
    <row r="118" spans="1:9" ht="14.25" customHeight="1" x14ac:dyDescent="0.3">
      <c r="A118" s="40" t="s">
        <v>545</v>
      </c>
      <c r="B118" s="41" t="s">
        <v>21</v>
      </c>
      <c r="C118" s="42">
        <v>2827</v>
      </c>
      <c r="D118" s="42">
        <v>292</v>
      </c>
      <c r="E118" s="42">
        <v>997585</v>
      </c>
      <c r="F118" s="43">
        <f t="shared" si="3"/>
        <v>2.5411368454818384E-3</v>
      </c>
      <c r="G118" s="60">
        <v>2.4004972007397871</v>
      </c>
      <c r="H118" s="44">
        <v>17896</v>
      </c>
      <c r="I118" s="61"/>
    </row>
    <row r="119" spans="1:9" ht="14.25" customHeight="1" x14ac:dyDescent="0.3">
      <c r="A119" s="40" t="s">
        <v>546</v>
      </c>
      <c r="B119" s="41" t="s">
        <v>21</v>
      </c>
      <c r="C119" s="42">
        <v>7979</v>
      </c>
      <c r="D119" s="42">
        <v>470</v>
      </c>
      <c r="E119" s="42">
        <v>1005094</v>
      </c>
      <c r="F119" s="43">
        <f t="shared" si="3"/>
        <v>7.4709430162750948E-3</v>
      </c>
      <c r="G119" s="60">
        <v>10.43086517280971</v>
      </c>
      <c r="H119" s="44">
        <v>42972</v>
      </c>
      <c r="I119" s="61"/>
    </row>
    <row r="120" spans="1:9" ht="14.25" customHeight="1" x14ac:dyDescent="0.3">
      <c r="A120" s="40" t="s">
        <v>546</v>
      </c>
      <c r="B120" s="41" t="s">
        <v>26</v>
      </c>
      <c r="C120" s="42">
        <v>9569</v>
      </c>
      <c r="D120" s="42">
        <v>1277</v>
      </c>
      <c r="E120" s="42">
        <v>1013386</v>
      </c>
      <c r="F120" s="43">
        <f t="shared" si="3"/>
        <v>8.1824694637581338E-3</v>
      </c>
      <c r="G120" s="60">
        <v>12.45517502708741</v>
      </c>
      <c r="H120" s="44">
        <v>59733</v>
      </c>
      <c r="I120" s="61"/>
    </row>
    <row r="121" spans="1:9" ht="14.25" customHeight="1" x14ac:dyDescent="0.3">
      <c r="A121" s="40" t="s">
        <v>349</v>
      </c>
      <c r="B121" s="41" t="s">
        <v>21</v>
      </c>
      <c r="C121" s="42">
        <v>9561</v>
      </c>
      <c r="D121" s="42">
        <v>517</v>
      </c>
      <c r="E121" s="42">
        <v>1034649</v>
      </c>
      <c r="F121" s="43">
        <f t="shared" si="3"/>
        <v>8.741128633961856E-3</v>
      </c>
      <c r="G121" s="60">
        <v>6.4086467971263694</v>
      </c>
      <c r="H121" s="44">
        <v>15347</v>
      </c>
      <c r="I121" s="61"/>
    </row>
    <row r="122" spans="1:9" ht="14.25" customHeight="1" x14ac:dyDescent="0.3">
      <c r="A122" s="40" t="s">
        <v>349</v>
      </c>
      <c r="B122" s="41" t="s">
        <v>14</v>
      </c>
      <c r="C122" s="42">
        <v>4747</v>
      </c>
      <c r="D122" s="42">
        <v>558</v>
      </c>
      <c r="E122" s="42">
        <v>1041686</v>
      </c>
      <c r="F122" s="43">
        <f t="shared" si="3"/>
        <v>4.021365363458854E-3</v>
      </c>
      <c r="G122" s="60">
        <v>5.7680529449373434</v>
      </c>
      <c r="H122" s="44">
        <v>12643</v>
      </c>
      <c r="I122" s="61"/>
    </row>
    <row r="123" spans="1:9" ht="14.25" customHeight="1" x14ac:dyDescent="0.3">
      <c r="A123" s="40" t="s">
        <v>547</v>
      </c>
      <c r="B123" s="41" t="s">
        <v>53</v>
      </c>
      <c r="C123" s="42">
        <v>6978</v>
      </c>
      <c r="D123" s="42">
        <v>706</v>
      </c>
      <c r="E123" s="42">
        <v>1057293</v>
      </c>
      <c r="F123" s="43">
        <f t="shared" si="3"/>
        <v>5.9321304501212058E-3</v>
      </c>
      <c r="G123" s="60">
        <v>5.057443868445171</v>
      </c>
      <c r="H123" s="44">
        <v>28681</v>
      </c>
      <c r="I123" s="61"/>
    </row>
    <row r="124" spans="1:9" ht="14.25" customHeight="1" x14ac:dyDescent="0.3">
      <c r="A124" s="40" t="s">
        <v>547</v>
      </c>
      <c r="B124" s="41" t="s">
        <v>26</v>
      </c>
      <c r="C124" s="42">
        <v>6607</v>
      </c>
      <c r="D124" s="42">
        <v>479</v>
      </c>
      <c r="E124" s="42">
        <v>1063421</v>
      </c>
      <c r="F124" s="43">
        <f t="shared" si="3"/>
        <v>5.7625343114345116E-3</v>
      </c>
      <c r="G124" s="60">
        <v>5.5892257158735816</v>
      </c>
      <c r="H124" s="44">
        <v>48328</v>
      </c>
      <c r="I124" s="61"/>
    </row>
    <row r="125" spans="1:9" ht="14.25" customHeight="1" x14ac:dyDescent="0.3">
      <c r="A125" s="40" t="s">
        <v>547</v>
      </c>
      <c r="B125" s="41" t="s">
        <v>14</v>
      </c>
      <c r="C125" s="42">
        <v>1769</v>
      </c>
      <c r="D125" s="42">
        <v>202</v>
      </c>
      <c r="E125" s="42">
        <v>1064988</v>
      </c>
      <c r="F125" s="43">
        <f t="shared" si="3"/>
        <v>1.4713780812553757E-3</v>
      </c>
      <c r="G125" s="60">
        <v>6.5457075572682513</v>
      </c>
      <c r="H125" s="44">
        <v>25892</v>
      </c>
      <c r="I125" s="61"/>
    </row>
    <row r="126" spans="1:9" ht="14.25" customHeight="1" x14ac:dyDescent="0.3">
      <c r="A126" s="40" t="s">
        <v>547</v>
      </c>
      <c r="B126" s="41" t="s">
        <v>21</v>
      </c>
      <c r="C126" s="42">
        <v>1780</v>
      </c>
      <c r="D126" s="42">
        <v>120</v>
      </c>
      <c r="E126" s="42">
        <v>1066648</v>
      </c>
      <c r="F126" s="43">
        <f>(C126-D126)/E126</f>
        <v>1.55627723485161E-3</v>
      </c>
      <c r="G126" s="60">
        <v>13.86474263299608</v>
      </c>
      <c r="H126" s="44">
        <v>57299</v>
      </c>
      <c r="I126" s="61"/>
    </row>
    <row r="127" spans="1:9" ht="14.25" customHeight="1" x14ac:dyDescent="0.3">
      <c r="A127" s="40" t="s">
        <v>364</v>
      </c>
      <c r="B127" s="41" t="s">
        <v>14</v>
      </c>
      <c r="C127" s="42">
        <v>7303</v>
      </c>
      <c r="D127" s="42">
        <v>869</v>
      </c>
      <c r="E127" s="42">
        <v>1073082</v>
      </c>
      <c r="F127" s="43">
        <f t="shared" ref="F127:F141" si="4">(C127-D127)/E127</f>
        <v>5.9958139266151145E-3</v>
      </c>
      <c r="G127" s="60">
        <v>8.1237966902808925</v>
      </c>
      <c r="H127" s="44">
        <v>27073</v>
      </c>
      <c r="I127" s="61"/>
    </row>
    <row r="128" spans="1:9" ht="14.25" customHeight="1" x14ac:dyDescent="0.3">
      <c r="A128" s="40" t="s">
        <v>364</v>
      </c>
      <c r="B128" s="41" t="s">
        <v>21</v>
      </c>
      <c r="C128" s="42">
        <v>4983</v>
      </c>
      <c r="D128" s="42">
        <v>441</v>
      </c>
      <c r="E128" s="42">
        <v>1077624</v>
      </c>
      <c r="F128" s="43">
        <f t="shared" si="4"/>
        <v>4.2148281775461569E-3</v>
      </c>
      <c r="G128" s="60">
        <v>6.8954477628560609</v>
      </c>
      <c r="H128" s="44">
        <v>46768</v>
      </c>
      <c r="I128" s="61"/>
    </row>
    <row r="129" spans="1:9" ht="14.25" customHeight="1" x14ac:dyDescent="0.3">
      <c r="A129" s="40" t="s">
        <v>364</v>
      </c>
      <c r="B129" s="41" t="s">
        <v>53</v>
      </c>
      <c r="C129" s="42">
        <v>9714</v>
      </c>
      <c r="D129" s="42">
        <v>1395</v>
      </c>
      <c r="E129" s="42">
        <v>1085943</v>
      </c>
      <c r="F129" s="43">
        <f t="shared" si="4"/>
        <v>7.6606230713766746E-3</v>
      </c>
      <c r="G129" s="60">
        <v>5.2243073531483697</v>
      </c>
      <c r="H129" s="44">
        <v>40682</v>
      </c>
      <c r="I129" s="61"/>
    </row>
    <row r="130" spans="1:9" ht="14.25" customHeight="1" x14ac:dyDescent="0.3">
      <c r="A130" s="40" t="s">
        <v>364</v>
      </c>
      <c r="B130" s="41" t="s">
        <v>26</v>
      </c>
      <c r="C130" s="42">
        <v>1521</v>
      </c>
      <c r="D130" s="42">
        <v>96</v>
      </c>
      <c r="E130" s="42">
        <v>1087368</v>
      </c>
      <c r="F130" s="43">
        <f t="shared" si="4"/>
        <v>1.3105038956452645E-3</v>
      </c>
      <c r="G130" s="60">
        <v>12.709772588488899</v>
      </c>
      <c r="H130" s="44">
        <v>42262</v>
      </c>
      <c r="I130" s="61"/>
    </row>
    <row r="131" spans="1:9" ht="14.25" customHeight="1" x14ac:dyDescent="0.3">
      <c r="A131" s="40" t="s">
        <v>548</v>
      </c>
      <c r="B131" s="41" t="s">
        <v>21</v>
      </c>
      <c r="C131" s="42">
        <v>8569</v>
      </c>
      <c r="D131" s="42">
        <v>720</v>
      </c>
      <c r="E131" s="42">
        <v>1095217</v>
      </c>
      <c r="F131" s="43">
        <f t="shared" si="4"/>
        <v>7.1666162961312686E-3</v>
      </c>
      <c r="G131" s="60">
        <v>9.589697749395782</v>
      </c>
      <c r="H131" s="44">
        <v>41358</v>
      </c>
      <c r="I131" s="61"/>
    </row>
    <row r="132" spans="1:9" ht="14.25" customHeight="1" x14ac:dyDescent="0.3">
      <c r="A132" s="40" t="s">
        <v>549</v>
      </c>
      <c r="B132" s="41" t="s">
        <v>26</v>
      </c>
      <c r="C132" s="42">
        <v>5941</v>
      </c>
      <c r="D132" s="42">
        <v>450</v>
      </c>
      <c r="E132" s="42">
        <v>1117854</v>
      </c>
      <c r="F132" s="43">
        <f t="shared" si="4"/>
        <v>4.9120904876665469E-3</v>
      </c>
      <c r="G132" s="60">
        <v>12.414411899944</v>
      </c>
      <c r="H132" s="44">
        <v>58330</v>
      </c>
      <c r="I132" s="61"/>
    </row>
    <row r="133" spans="1:9" ht="14.25" customHeight="1" x14ac:dyDescent="0.3">
      <c r="A133" s="40" t="s">
        <v>549</v>
      </c>
      <c r="B133" s="41" t="s">
        <v>53</v>
      </c>
      <c r="C133" s="42">
        <v>8128</v>
      </c>
      <c r="D133" s="42">
        <v>1070</v>
      </c>
      <c r="E133" s="42">
        <v>1131337</v>
      </c>
      <c r="F133" s="43">
        <f t="shared" si="4"/>
        <v>6.2386362330587612E-3</v>
      </c>
      <c r="G133" s="60">
        <v>8.1114645768679008</v>
      </c>
      <c r="H133" s="44">
        <v>21918</v>
      </c>
      <c r="I133" s="61"/>
    </row>
    <row r="134" spans="1:9" ht="14.25" customHeight="1" x14ac:dyDescent="0.3">
      <c r="A134" s="40" t="s">
        <v>322</v>
      </c>
      <c r="B134" s="41" t="s">
        <v>21</v>
      </c>
      <c r="C134" s="42">
        <v>1685</v>
      </c>
      <c r="D134" s="42">
        <v>173</v>
      </c>
      <c r="E134" s="42">
        <v>1135945</v>
      </c>
      <c r="F134" s="43">
        <f t="shared" si="4"/>
        <v>1.331050358952238E-3</v>
      </c>
      <c r="G134" s="60">
        <v>8.7776256772995165</v>
      </c>
      <c r="H134" s="44">
        <v>49110</v>
      </c>
      <c r="I134" s="61"/>
    </row>
    <row r="135" spans="1:9" ht="14.25" customHeight="1" x14ac:dyDescent="0.3">
      <c r="A135" s="40" t="s">
        <v>322</v>
      </c>
      <c r="B135" s="41" t="s">
        <v>53</v>
      </c>
      <c r="C135" s="42">
        <v>3160</v>
      </c>
      <c r="D135" s="42">
        <v>234</v>
      </c>
      <c r="E135" s="42">
        <v>1138871</v>
      </c>
      <c r="F135" s="43">
        <f t="shared" si="4"/>
        <v>2.5692110871204906E-3</v>
      </c>
      <c r="G135" s="60">
        <v>5.6959041015180816</v>
      </c>
      <c r="H135" s="44">
        <v>21929</v>
      </c>
      <c r="I135" s="61"/>
    </row>
    <row r="136" spans="1:9" ht="14.25" customHeight="1" x14ac:dyDescent="0.3">
      <c r="A136" s="40" t="s">
        <v>69</v>
      </c>
      <c r="B136" s="41" t="s">
        <v>21</v>
      </c>
      <c r="C136" s="42">
        <v>1038</v>
      </c>
      <c r="D136" s="42">
        <v>145</v>
      </c>
      <c r="E136" s="42">
        <v>1152775</v>
      </c>
      <c r="F136" s="43">
        <f t="shared" si="4"/>
        <v>7.7465246904209403E-4</v>
      </c>
      <c r="G136" s="60">
        <v>11.093752033137431</v>
      </c>
      <c r="H136" s="44">
        <v>55951</v>
      </c>
      <c r="I136" s="61"/>
    </row>
    <row r="137" spans="1:9" ht="14.25" customHeight="1" x14ac:dyDescent="0.3">
      <c r="A137" s="40" t="s">
        <v>69</v>
      </c>
      <c r="B137" s="41" t="s">
        <v>14</v>
      </c>
      <c r="C137" s="42">
        <v>5875</v>
      </c>
      <c r="D137" s="42">
        <v>665</v>
      </c>
      <c r="E137" s="42">
        <v>1157985</v>
      </c>
      <c r="F137" s="43">
        <f t="shared" si="4"/>
        <v>4.4991947218659999E-3</v>
      </c>
      <c r="G137" s="60">
        <v>6.9871371390821126</v>
      </c>
      <c r="H137" s="44">
        <v>32669</v>
      </c>
      <c r="I137" s="61"/>
    </row>
    <row r="138" spans="1:9" ht="14.25" customHeight="1" x14ac:dyDescent="0.3">
      <c r="A138" s="40" t="s">
        <v>69</v>
      </c>
      <c r="B138" s="41" t="s">
        <v>26</v>
      </c>
      <c r="C138" s="42">
        <v>8697</v>
      </c>
      <c r="D138" s="42">
        <v>738</v>
      </c>
      <c r="E138" s="42">
        <v>1168011</v>
      </c>
      <c r="F138" s="43">
        <f t="shared" si="4"/>
        <v>6.8141481544266276E-3</v>
      </c>
      <c r="G138" s="60">
        <v>3.8777032065622672</v>
      </c>
      <c r="H138" s="44">
        <v>30644</v>
      </c>
      <c r="I138" s="61"/>
    </row>
    <row r="139" spans="1:9" ht="14.25" customHeight="1" x14ac:dyDescent="0.3">
      <c r="A139" s="40" t="s">
        <v>27</v>
      </c>
      <c r="B139" s="41" t="s">
        <v>26</v>
      </c>
      <c r="C139" s="42">
        <v>3196</v>
      </c>
      <c r="D139" s="42">
        <v>391</v>
      </c>
      <c r="E139" s="42">
        <v>1170816</v>
      </c>
      <c r="F139" s="43">
        <f t="shared" si="4"/>
        <v>2.3957650049196456E-3</v>
      </c>
      <c r="G139" s="60">
        <v>7.2439221876024931</v>
      </c>
      <c r="H139" s="44">
        <v>28745</v>
      </c>
      <c r="I139" s="61"/>
    </row>
    <row r="140" spans="1:9" ht="14.25" customHeight="1" x14ac:dyDescent="0.3">
      <c r="A140" s="40" t="s">
        <v>27</v>
      </c>
      <c r="B140" s="41" t="s">
        <v>21</v>
      </c>
      <c r="C140" s="42">
        <v>8165</v>
      </c>
      <c r="D140" s="42">
        <v>1140</v>
      </c>
      <c r="E140" s="42">
        <v>1177841</v>
      </c>
      <c r="F140" s="43">
        <f t="shared" si="4"/>
        <v>5.9643024822535473E-3</v>
      </c>
      <c r="G140" s="60">
        <v>9.095964565675672</v>
      </c>
      <c r="H140" s="44">
        <v>38228</v>
      </c>
      <c r="I140" s="61"/>
    </row>
    <row r="141" spans="1:9" ht="14.25" customHeight="1" x14ac:dyDescent="0.3">
      <c r="A141" s="40" t="s">
        <v>27</v>
      </c>
      <c r="B141" s="41" t="s">
        <v>53</v>
      </c>
      <c r="C141" s="42">
        <v>8527</v>
      </c>
      <c r="D141" s="42">
        <v>1091</v>
      </c>
      <c r="E141" s="42">
        <v>1186398</v>
      </c>
      <c r="F141" s="43">
        <f t="shared" si="4"/>
        <v>6.267711172810473E-3</v>
      </c>
      <c r="G141" s="60">
        <v>1.676081719625286</v>
      </c>
      <c r="H141" s="44">
        <v>41703</v>
      </c>
      <c r="I141" s="61"/>
    </row>
    <row r="142" spans="1:9" ht="14.25" customHeight="1" x14ac:dyDescent="0.3">
      <c r="A142" s="45"/>
      <c r="I142" s="61"/>
    </row>
    <row r="143" spans="1:9" ht="14.25" customHeight="1" x14ac:dyDescent="0.3">
      <c r="A143"/>
      <c r="B143"/>
      <c r="C143"/>
      <c r="D143"/>
      <c r="E143"/>
      <c r="F143"/>
      <c r="G143"/>
      <c r="H143"/>
      <c r="I143" s="61"/>
    </row>
    <row r="144" spans="1:9" ht="14.25" customHeight="1" x14ac:dyDescent="0.3">
      <c r="A144"/>
      <c r="B144"/>
      <c r="C144"/>
      <c r="D144"/>
      <c r="E144"/>
      <c r="F144"/>
      <c r="G144"/>
      <c r="H144"/>
      <c r="I144" s="61"/>
    </row>
    <row r="145" spans="1:9" ht="14.25" customHeight="1" x14ac:dyDescent="0.3">
      <c r="A145"/>
      <c r="B145"/>
      <c r="C145"/>
      <c r="D145"/>
      <c r="E145"/>
      <c r="F145"/>
      <c r="G145"/>
      <c r="H145"/>
      <c r="I145" s="61"/>
    </row>
    <row r="146" spans="1:9" ht="14.25" customHeight="1" x14ac:dyDescent="0.3">
      <c r="A146"/>
      <c r="B146"/>
      <c r="C146"/>
      <c r="D146"/>
      <c r="E146"/>
      <c r="F146"/>
      <c r="G146"/>
      <c r="H146"/>
      <c r="I146" s="61"/>
    </row>
    <row r="147" spans="1:9" ht="14.25" customHeight="1" x14ac:dyDescent="0.3">
      <c r="A147"/>
      <c r="B147"/>
      <c r="C147"/>
      <c r="D147"/>
      <c r="E147"/>
      <c r="F147"/>
      <c r="G147"/>
      <c r="H147"/>
      <c r="I147" s="61"/>
    </row>
    <row r="148" spans="1:9" ht="14.25" customHeight="1" x14ac:dyDescent="0.3">
      <c r="A148"/>
      <c r="B148"/>
      <c r="C148"/>
      <c r="D148"/>
      <c r="E148"/>
      <c r="F148"/>
      <c r="G148"/>
      <c r="H148"/>
      <c r="I148" s="61"/>
    </row>
    <row r="149" spans="1:9" ht="14.25" customHeight="1" x14ac:dyDescent="0.3">
      <c r="A149"/>
      <c r="B149"/>
      <c r="C149"/>
      <c r="D149"/>
      <c r="E149"/>
      <c r="F149"/>
      <c r="G149"/>
      <c r="H149"/>
      <c r="I149" s="61"/>
    </row>
    <row r="150" spans="1:9" ht="14.25" customHeight="1" x14ac:dyDescent="0.3">
      <c r="A150"/>
      <c r="B150"/>
      <c r="C150"/>
      <c r="D150"/>
      <c r="E150"/>
      <c r="F150"/>
      <c r="G150"/>
      <c r="H150"/>
      <c r="I150" s="61"/>
    </row>
    <row r="151" spans="1:9" ht="14.25" customHeight="1" x14ac:dyDescent="0.3">
      <c r="A151"/>
      <c r="B151"/>
      <c r="C151"/>
      <c r="D151"/>
      <c r="E151"/>
      <c r="F151"/>
      <c r="G151"/>
      <c r="H151"/>
      <c r="I151" s="61"/>
    </row>
    <row r="152" spans="1:9" ht="14.25" customHeight="1" x14ac:dyDescent="0.3">
      <c r="A152"/>
      <c r="B152"/>
      <c r="C152"/>
      <c r="D152"/>
      <c r="E152"/>
      <c r="F152"/>
      <c r="G152"/>
      <c r="H152"/>
      <c r="I152" s="61"/>
    </row>
    <row r="153" spans="1:9" ht="14.25" customHeight="1" x14ac:dyDescent="0.3">
      <c r="A153"/>
      <c r="B153"/>
      <c r="C153"/>
      <c r="D153"/>
      <c r="E153"/>
      <c r="F153"/>
      <c r="G153"/>
      <c r="H153"/>
      <c r="I153" s="61"/>
    </row>
    <row r="154" spans="1:9" ht="14.25" customHeight="1" x14ac:dyDescent="0.3">
      <c r="A154"/>
      <c r="B154"/>
      <c r="C154"/>
      <c r="D154"/>
      <c r="E154"/>
      <c r="F154"/>
      <c r="G154"/>
      <c r="H154"/>
      <c r="I154" s="61"/>
    </row>
    <row r="155" spans="1:9" ht="14.25" customHeight="1" x14ac:dyDescent="0.3">
      <c r="A155"/>
      <c r="B155"/>
      <c r="C155"/>
      <c r="D155"/>
      <c r="E155"/>
      <c r="F155"/>
      <c r="G155"/>
      <c r="H155"/>
      <c r="I155" s="61"/>
    </row>
    <row r="156" spans="1:9" ht="14.25" customHeight="1" x14ac:dyDescent="0.3">
      <c r="A156"/>
      <c r="B156"/>
      <c r="C156"/>
      <c r="D156"/>
      <c r="E156"/>
      <c r="F156"/>
      <c r="G156"/>
      <c r="H156"/>
      <c r="I156" s="61"/>
    </row>
    <row r="157" spans="1:9" ht="14.25" customHeight="1" x14ac:dyDescent="0.3">
      <c r="A157"/>
      <c r="B157"/>
      <c r="C157"/>
      <c r="D157"/>
      <c r="E157"/>
      <c r="F157"/>
      <c r="G157"/>
      <c r="H157"/>
      <c r="I157" s="61"/>
    </row>
    <row r="158" spans="1:9" ht="14.25" customHeight="1" x14ac:dyDescent="0.3">
      <c r="A158"/>
      <c r="B158"/>
      <c r="C158"/>
      <c r="D158"/>
      <c r="E158"/>
      <c r="F158"/>
      <c r="G158"/>
      <c r="H158"/>
      <c r="I158" s="61"/>
    </row>
    <row r="159" spans="1:9" ht="14.25" customHeight="1" x14ac:dyDescent="0.3">
      <c r="A159"/>
      <c r="B159"/>
      <c r="C159"/>
      <c r="D159"/>
      <c r="E159"/>
      <c r="F159"/>
      <c r="G159"/>
      <c r="H159"/>
      <c r="I159" s="61"/>
    </row>
    <row r="160" spans="1:9" ht="14.25" customHeight="1" x14ac:dyDescent="0.3">
      <c r="A160"/>
      <c r="B160"/>
      <c r="C160"/>
      <c r="D160"/>
      <c r="E160"/>
      <c r="F160"/>
      <c r="G160"/>
      <c r="H160"/>
      <c r="I160" s="61"/>
    </row>
    <row r="161" spans="1:9" ht="14.25" customHeight="1" x14ac:dyDescent="0.3">
      <c r="A161"/>
      <c r="B161"/>
      <c r="C161"/>
      <c r="D161"/>
      <c r="E161"/>
      <c r="F161"/>
      <c r="G161"/>
      <c r="H161"/>
      <c r="I161" s="61"/>
    </row>
    <row r="162" spans="1:9" ht="14.25" customHeight="1" x14ac:dyDescent="0.3">
      <c r="A162"/>
      <c r="B162"/>
      <c r="C162"/>
      <c r="D162"/>
      <c r="E162"/>
      <c r="F162"/>
      <c r="G162"/>
      <c r="H162"/>
      <c r="I162" s="61"/>
    </row>
    <row r="163" spans="1:9" ht="14.25" customHeight="1" x14ac:dyDescent="0.3">
      <c r="A163"/>
      <c r="B163"/>
      <c r="C163"/>
      <c r="D163"/>
      <c r="E163"/>
      <c r="F163"/>
      <c r="G163"/>
      <c r="H163"/>
      <c r="I163" s="61"/>
    </row>
    <row r="164" spans="1:9" ht="14.25" customHeight="1" x14ac:dyDescent="0.3">
      <c r="A164"/>
      <c r="B164"/>
      <c r="C164"/>
      <c r="D164"/>
      <c r="E164"/>
      <c r="F164"/>
      <c r="G164"/>
      <c r="H164"/>
      <c r="I164" s="61"/>
    </row>
    <row r="165" spans="1:9" ht="14.25" customHeight="1" x14ac:dyDescent="0.3">
      <c r="A165"/>
      <c r="B165"/>
      <c r="C165"/>
      <c r="D165"/>
      <c r="E165"/>
      <c r="F165"/>
      <c r="G165"/>
      <c r="H165"/>
      <c r="I165" s="61"/>
    </row>
    <row r="166" spans="1:9" ht="14.25" customHeight="1" x14ac:dyDescent="0.3">
      <c r="A166"/>
      <c r="B166"/>
      <c r="C166"/>
      <c r="D166"/>
      <c r="E166"/>
      <c r="F166"/>
      <c r="G166"/>
      <c r="H166"/>
      <c r="I166" s="61"/>
    </row>
    <row r="167" spans="1:9" ht="14.25" customHeight="1" x14ac:dyDescent="0.3">
      <c r="A167"/>
      <c r="B167"/>
      <c r="C167"/>
      <c r="D167"/>
      <c r="E167"/>
      <c r="F167"/>
      <c r="G167"/>
      <c r="H167"/>
      <c r="I167" s="61"/>
    </row>
    <row r="168" spans="1:9" ht="14.25" customHeight="1" x14ac:dyDescent="0.3">
      <c r="A168"/>
      <c r="B168"/>
      <c r="C168"/>
      <c r="D168"/>
      <c r="E168"/>
      <c r="F168"/>
      <c r="G168"/>
      <c r="H168"/>
      <c r="I168" s="61"/>
    </row>
    <row r="169" spans="1:9" ht="14.25" customHeight="1" x14ac:dyDescent="0.3">
      <c r="A169"/>
      <c r="B169"/>
      <c r="C169"/>
      <c r="D169"/>
      <c r="E169"/>
      <c r="F169"/>
      <c r="G169"/>
      <c r="H169"/>
      <c r="I169" s="61"/>
    </row>
    <row r="170" spans="1:9" ht="14.25" customHeight="1" x14ac:dyDescent="0.3">
      <c r="A170"/>
      <c r="B170"/>
      <c r="C170"/>
      <c r="D170"/>
      <c r="E170"/>
      <c r="F170"/>
      <c r="G170"/>
      <c r="H170"/>
      <c r="I170" s="61"/>
    </row>
    <row r="171" spans="1:9" ht="14.25" customHeight="1" x14ac:dyDescent="0.3">
      <c r="A171"/>
      <c r="B171"/>
      <c r="C171"/>
      <c r="D171"/>
      <c r="E171"/>
      <c r="F171"/>
      <c r="G171"/>
      <c r="H171"/>
      <c r="I171" s="61"/>
    </row>
    <row r="172" spans="1:9" ht="14.25" customHeight="1" x14ac:dyDescent="0.3">
      <c r="A172"/>
      <c r="B172"/>
      <c r="C172"/>
      <c r="D172"/>
      <c r="E172"/>
      <c r="F172"/>
      <c r="G172"/>
      <c r="H172"/>
      <c r="I172" s="61"/>
    </row>
    <row r="173" spans="1:9" ht="14.25" customHeight="1" x14ac:dyDescent="0.3">
      <c r="A173"/>
      <c r="B173"/>
      <c r="C173"/>
      <c r="D173"/>
      <c r="E173"/>
      <c r="F173"/>
      <c r="G173"/>
      <c r="H173"/>
      <c r="I173" s="61"/>
    </row>
    <row r="174" spans="1:9" ht="14.25" customHeight="1" x14ac:dyDescent="0.3">
      <c r="A174"/>
      <c r="B174"/>
      <c r="C174"/>
      <c r="D174"/>
      <c r="E174"/>
      <c r="F174"/>
      <c r="G174"/>
      <c r="H174"/>
      <c r="I174" s="61"/>
    </row>
    <row r="175" spans="1:9" ht="14.25" customHeight="1" x14ac:dyDescent="0.3">
      <c r="A175"/>
      <c r="B175"/>
      <c r="C175"/>
      <c r="D175"/>
      <c r="E175"/>
      <c r="F175"/>
      <c r="G175"/>
      <c r="H175"/>
      <c r="I175" s="61"/>
    </row>
    <row r="176" spans="1:9" ht="14.25" customHeight="1" x14ac:dyDescent="0.3">
      <c r="A176"/>
      <c r="B176"/>
      <c r="C176"/>
      <c r="D176"/>
      <c r="E176"/>
      <c r="F176"/>
      <c r="G176"/>
      <c r="H176"/>
      <c r="I176" s="61"/>
    </row>
    <row r="177" spans="1:9" ht="14.25" customHeight="1" x14ac:dyDescent="0.3">
      <c r="A177"/>
      <c r="B177"/>
      <c r="C177"/>
      <c r="D177"/>
      <c r="E177"/>
      <c r="F177"/>
      <c r="G177"/>
      <c r="H177"/>
      <c r="I177" s="61"/>
    </row>
    <row r="178" spans="1:9" ht="14.25" customHeight="1" x14ac:dyDescent="0.3">
      <c r="A178"/>
      <c r="B178"/>
      <c r="C178"/>
      <c r="D178"/>
      <c r="E178"/>
      <c r="F178"/>
      <c r="G178"/>
      <c r="H178"/>
      <c r="I178" s="61"/>
    </row>
    <row r="179" spans="1:9" ht="14.25" customHeight="1" x14ac:dyDescent="0.3">
      <c r="A179"/>
      <c r="B179"/>
      <c r="C179"/>
      <c r="D179"/>
      <c r="E179"/>
      <c r="F179"/>
      <c r="G179"/>
      <c r="H179"/>
      <c r="I179" s="61"/>
    </row>
    <row r="180" spans="1:9" ht="14.25" customHeight="1" x14ac:dyDescent="0.3">
      <c r="A180"/>
      <c r="B180"/>
      <c r="C180"/>
      <c r="D180"/>
      <c r="E180"/>
      <c r="F180"/>
      <c r="G180"/>
      <c r="H180"/>
      <c r="I180" s="61"/>
    </row>
    <row r="181" spans="1:9" ht="14.25" customHeight="1" x14ac:dyDescent="0.3">
      <c r="A181"/>
      <c r="B181"/>
      <c r="C181"/>
      <c r="D181"/>
      <c r="E181"/>
      <c r="F181"/>
      <c r="G181"/>
      <c r="H181"/>
      <c r="I181" s="61"/>
    </row>
    <row r="182" spans="1:9" ht="14.25" customHeight="1" x14ac:dyDescent="0.3">
      <c r="A182"/>
      <c r="B182"/>
      <c r="C182"/>
      <c r="D182"/>
      <c r="E182"/>
      <c r="F182"/>
      <c r="G182"/>
      <c r="H182"/>
      <c r="I182" s="61"/>
    </row>
    <row r="183" spans="1:9" ht="14.25" customHeight="1" x14ac:dyDescent="0.3">
      <c r="A183"/>
      <c r="B183"/>
      <c r="C183"/>
      <c r="D183"/>
      <c r="E183"/>
      <c r="F183"/>
      <c r="G183"/>
      <c r="H183"/>
      <c r="I183" s="61"/>
    </row>
    <row r="184" spans="1:9" ht="14.25" customHeight="1" x14ac:dyDescent="0.3">
      <c r="A184"/>
      <c r="B184"/>
      <c r="C184"/>
      <c r="D184"/>
      <c r="E184"/>
      <c r="F184"/>
      <c r="G184"/>
      <c r="H184"/>
      <c r="I184" s="61"/>
    </row>
    <row r="185" spans="1:9" ht="14.25" customHeight="1" x14ac:dyDescent="0.3">
      <c r="A185"/>
      <c r="B185"/>
      <c r="C185"/>
      <c r="D185"/>
      <c r="E185"/>
      <c r="F185"/>
      <c r="G185"/>
      <c r="H185"/>
      <c r="I185" s="61"/>
    </row>
    <row r="186" spans="1:9" ht="14.25" customHeight="1" x14ac:dyDescent="0.3">
      <c r="A186"/>
      <c r="B186"/>
      <c r="C186"/>
      <c r="D186"/>
      <c r="E186"/>
      <c r="F186"/>
      <c r="G186"/>
      <c r="H186"/>
      <c r="I186" s="61"/>
    </row>
    <row r="187" spans="1:9" ht="14.25" customHeight="1" x14ac:dyDescent="0.3">
      <c r="A187"/>
      <c r="B187"/>
      <c r="C187"/>
      <c r="D187"/>
      <c r="E187"/>
      <c r="F187"/>
      <c r="G187"/>
      <c r="H187"/>
      <c r="I187" s="61"/>
    </row>
    <row r="188" spans="1:9" ht="14.25" customHeight="1" x14ac:dyDescent="0.3">
      <c r="A188"/>
      <c r="B188"/>
      <c r="C188"/>
      <c r="D188"/>
      <c r="E188"/>
      <c r="F188"/>
      <c r="G188"/>
      <c r="H188"/>
      <c r="I188" s="61"/>
    </row>
    <row r="189" spans="1:9" ht="14.25" customHeight="1" x14ac:dyDescent="0.3">
      <c r="A189"/>
      <c r="B189"/>
      <c r="C189"/>
      <c r="D189"/>
      <c r="E189"/>
      <c r="F189"/>
      <c r="G189"/>
      <c r="H189"/>
      <c r="I189" s="61"/>
    </row>
    <row r="190" spans="1:9" ht="14.25" customHeight="1" x14ac:dyDescent="0.3">
      <c r="A190"/>
      <c r="B190"/>
      <c r="C190"/>
      <c r="D190"/>
      <c r="E190"/>
      <c r="F190"/>
      <c r="G190"/>
      <c r="H190"/>
      <c r="I190" s="61"/>
    </row>
    <row r="191" spans="1:9" ht="14.25" customHeight="1" x14ac:dyDescent="0.3">
      <c r="A191"/>
      <c r="B191"/>
      <c r="C191"/>
      <c r="D191"/>
      <c r="E191"/>
      <c r="F191"/>
      <c r="G191"/>
      <c r="H191"/>
      <c r="I191" s="61"/>
    </row>
    <row r="192" spans="1:9" ht="14.25" customHeight="1" x14ac:dyDescent="0.3">
      <c r="A192"/>
      <c r="B192"/>
      <c r="C192"/>
      <c r="D192"/>
      <c r="E192"/>
      <c r="F192"/>
      <c r="G192"/>
      <c r="H192"/>
      <c r="I192" s="61"/>
    </row>
    <row r="193" spans="1:9" ht="14.25" customHeight="1" x14ac:dyDescent="0.3">
      <c r="A193"/>
      <c r="B193"/>
      <c r="C193"/>
      <c r="D193"/>
      <c r="E193"/>
      <c r="F193"/>
      <c r="G193"/>
      <c r="H193"/>
      <c r="I193" s="61"/>
    </row>
    <row r="194" spans="1:9" ht="14.25" customHeight="1" x14ac:dyDescent="0.3">
      <c r="A194"/>
      <c r="B194"/>
      <c r="C194"/>
      <c r="D194"/>
      <c r="E194"/>
      <c r="F194"/>
      <c r="G194"/>
      <c r="H194"/>
      <c r="I194" s="61"/>
    </row>
    <row r="195" spans="1:9" ht="14.25" customHeight="1" x14ac:dyDescent="0.3">
      <c r="A195"/>
      <c r="B195"/>
      <c r="C195"/>
      <c r="D195"/>
      <c r="E195"/>
      <c r="F195"/>
      <c r="G195"/>
      <c r="H195"/>
      <c r="I195" s="61"/>
    </row>
    <row r="196" spans="1:9" ht="14.25" customHeight="1" x14ac:dyDescent="0.3">
      <c r="A196"/>
      <c r="B196"/>
      <c r="C196"/>
      <c r="D196"/>
      <c r="E196"/>
      <c r="F196"/>
      <c r="G196"/>
      <c r="H196"/>
      <c r="I196" s="61"/>
    </row>
    <row r="197" spans="1:9" ht="14.25" customHeight="1" x14ac:dyDescent="0.3">
      <c r="A197"/>
      <c r="B197"/>
      <c r="C197"/>
      <c r="D197"/>
      <c r="E197"/>
      <c r="F197"/>
      <c r="G197"/>
      <c r="H197"/>
      <c r="I197" s="61"/>
    </row>
    <row r="198" spans="1:9" ht="14.25" customHeight="1" x14ac:dyDescent="0.3">
      <c r="A198"/>
      <c r="B198"/>
      <c r="C198"/>
      <c r="D198"/>
      <c r="E198"/>
      <c r="F198"/>
      <c r="G198"/>
      <c r="H198"/>
      <c r="I198" s="61"/>
    </row>
    <row r="199" spans="1:9" ht="14.25" customHeight="1" x14ac:dyDescent="0.3">
      <c r="A199"/>
      <c r="B199"/>
      <c r="C199"/>
      <c r="D199"/>
      <c r="E199"/>
      <c r="F199"/>
      <c r="G199"/>
      <c r="H199"/>
      <c r="I199" s="61"/>
    </row>
    <row r="200" spans="1:9" ht="14.25" customHeight="1" x14ac:dyDescent="0.3">
      <c r="A200"/>
      <c r="B200"/>
      <c r="C200"/>
      <c r="D200"/>
      <c r="E200"/>
      <c r="F200"/>
      <c r="G200"/>
      <c r="H200"/>
      <c r="I200" s="61"/>
    </row>
    <row r="201" spans="1:9" ht="14.25" customHeight="1" x14ac:dyDescent="0.3">
      <c r="A201"/>
      <c r="B201"/>
      <c r="C201"/>
      <c r="D201"/>
      <c r="E201"/>
      <c r="F201"/>
      <c r="G201"/>
      <c r="H201"/>
      <c r="I201" s="61"/>
    </row>
    <row r="202" spans="1:9" ht="14.25" customHeight="1" x14ac:dyDescent="0.3">
      <c r="A202"/>
      <c r="B202"/>
      <c r="C202"/>
      <c r="D202"/>
      <c r="E202"/>
      <c r="F202"/>
      <c r="G202"/>
      <c r="H202"/>
    </row>
    <row r="203" spans="1:9" ht="14.25" customHeight="1" x14ac:dyDescent="0.3">
      <c r="A203"/>
      <c r="B203"/>
      <c r="C203"/>
      <c r="D203"/>
      <c r="E203"/>
      <c r="F203"/>
      <c r="G203"/>
      <c r="H203"/>
    </row>
    <row r="204" spans="1:9" ht="14.25" customHeight="1" x14ac:dyDescent="0.3">
      <c r="A204"/>
      <c r="B204"/>
      <c r="C204"/>
      <c r="D204"/>
      <c r="E204"/>
      <c r="F204"/>
      <c r="G204"/>
      <c r="H204"/>
    </row>
    <row r="205" spans="1:9" ht="14.25" customHeight="1" x14ac:dyDescent="0.3">
      <c r="A205"/>
      <c r="B205"/>
      <c r="C205"/>
      <c r="D205"/>
      <c r="E205"/>
      <c r="F205"/>
      <c r="G205"/>
      <c r="H205"/>
    </row>
    <row r="206" spans="1:9" ht="14.25" customHeight="1" x14ac:dyDescent="0.3">
      <c r="A206"/>
      <c r="B206"/>
      <c r="C206"/>
      <c r="D206"/>
      <c r="E206"/>
      <c r="F206"/>
      <c r="G206"/>
      <c r="H206"/>
    </row>
    <row r="207" spans="1:9" ht="14.25" customHeight="1" x14ac:dyDescent="0.3">
      <c r="A207"/>
      <c r="B207"/>
      <c r="C207"/>
      <c r="D207"/>
      <c r="E207"/>
      <c r="F207"/>
      <c r="G207"/>
      <c r="H207"/>
    </row>
    <row r="208" spans="1:9" ht="14.25" customHeight="1" x14ac:dyDescent="0.3">
      <c r="A208"/>
      <c r="B208"/>
      <c r="C208"/>
      <c r="D208"/>
      <c r="E208"/>
      <c r="F208"/>
      <c r="G208"/>
      <c r="H208"/>
    </row>
    <row r="209" spans="1:8" ht="14.25" customHeight="1" x14ac:dyDescent="0.3">
      <c r="A209"/>
      <c r="B209"/>
      <c r="C209"/>
      <c r="D209"/>
      <c r="E209"/>
      <c r="F209"/>
      <c r="G209"/>
      <c r="H209"/>
    </row>
    <row r="210" spans="1:8" ht="14.25" customHeight="1" x14ac:dyDescent="0.3">
      <c r="A210"/>
      <c r="B210"/>
      <c r="C210"/>
      <c r="D210"/>
      <c r="E210"/>
      <c r="F210"/>
      <c r="G210"/>
      <c r="H210"/>
    </row>
    <row r="211" spans="1:8" ht="14.25" customHeight="1" x14ac:dyDescent="0.3">
      <c r="A211"/>
      <c r="B211"/>
      <c r="C211"/>
      <c r="D211"/>
      <c r="E211"/>
      <c r="F211"/>
      <c r="G211"/>
      <c r="H211"/>
    </row>
    <row r="212" spans="1:8" ht="14.25" customHeight="1" x14ac:dyDescent="0.3">
      <c r="A212"/>
      <c r="B212"/>
      <c r="C212"/>
      <c r="D212"/>
      <c r="E212"/>
      <c r="F212"/>
      <c r="G212"/>
      <c r="H212"/>
    </row>
    <row r="213" spans="1:8" ht="14.25" customHeight="1" x14ac:dyDescent="0.3">
      <c r="A213"/>
      <c r="B213"/>
      <c r="C213"/>
      <c r="D213"/>
      <c r="E213"/>
      <c r="F213"/>
      <c r="G213"/>
      <c r="H213"/>
    </row>
    <row r="214" spans="1:8" ht="14.25" customHeight="1" x14ac:dyDescent="0.3">
      <c r="A214"/>
      <c r="B214"/>
      <c r="C214"/>
      <c r="D214"/>
      <c r="E214"/>
      <c r="F214"/>
      <c r="G214"/>
      <c r="H214"/>
    </row>
    <row r="215" spans="1:8" ht="14.25" customHeight="1" x14ac:dyDescent="0.3">
      <c r="A215"/>
      <c r="B215"/>
      <c r="C215"/>
      <c r="D215"/>
      <c r="E215"/>
      <c r="F215"/>
      <c r="G215"/>
      <c r="H215"/>
    </row>
    <row r="216" spans="1:8" ht="14.25" customHeight="1" x14ac:dyDescent="0.3">
      <c r="A216"/>
      <c r="B216"/>
      <c r="C216"/>
      <c r="D216"/>
      <c r="E216"/>
      <c r="F216"/>
      <c r="G216"/>
      <c r="H216"/>
    </row>
    <row r="217" spans="1:8" ht="14.25" customHeight="1" x14ac:dyDescent="0.3">
      <c r="A217"/>
      <c r="B217"/>
      <c r="C217"/>
      <c r="D217"/>
      <c r="E217"/>
      <c r="F217"/>
      <c r="G217"/>
      <c r="H217"/>
    </row>
    <row r="218" spans="1:8" ht="14.25" customHeight="1" x14ac:dyDescent="0.3">
      <c r="A218"/>
      <c r="B218"/>
      <c r="C218"/>
      <c r="D218"/>
      <c r="E218"/>
      <c r="F218"/>
      <c r="G218"/>
      <c r="H218"/>
    </row>
    <row r="219" spans="1:8" ht="14.25" customHeight="1" x14ac:dyDescent="0.3">
      <c r="A219"/>
      <c r="B219"/>
      <c r="C219"/>
      <c r="D219"/>
      <c r="E219"/>
      <c r="F219"/>
      <c r="G219"/>
      <c r="H219"/>
    </row>
    <row r="220" spans="1:8" ht="14.25" customHeight="1" x14ac:dyDescent="0.3">
      <c r="A220"/>
      <c r="B220"/>
      <c r="C220"/>
      <c r="D220"/>
      <c r="E220"/>
      <c r="F220"/>
      <c r="G220"/>
      <c r="H220"/>
    </row>
    <row r="221" spans="1:8" ht="14.25" customHeight="1" x14ac:dyDescent="0.3">
      <c r="A221"/>
      <c r="B221"/>
      <c r="C221"/>
      <c r="D221"/>
      <c r="E221"/>
      <c r="F221"/>
      <c r="G221"/>
      <c r="H221"/>
    </row>
    <row r="222" spans="1:8" ht="14.25" customHeight="1" x14ac:dyDescent="0.3">
      <c r="A222"/>
      <c r="B222"/>
      <c r="C222"/>
      <c r="D222"/>
      <c r="E222"/>
      <c r="F222"/>
      <c r="G222"/>
      <c r="H222"/>
    </row>
    <row r="223" spans="1:8" ht="14.25" customHeight="1" x14ac:dyDescent="0.3">
      <c r="A223"/>
      <c r="B223"/>
      <c r="C223"/>
      <c r="D223"/>
      <c r="E223"/>
      <c r="F223"/>
      <c r="G223"/>
      <c r="H223"/>
    </row>
    <row r="224" spans="1:8" ht="14.25" customHeight="1" x14ac:dyDescent="0.3">
      <c r="A224"/>
      <c r="B224"/>
      <c r="C224"/>
      <c r="D224"/>
      <c r="E224"/>
      <c r="F224"/>
      <c r="G224"/>
      <c r="H224"/>
    </row>
    <row r="225" spans="1:8" ht="14.25" customHeight="1" x14ac:dyDescent="0.3">
      <c r="A225"/>
      <c r="B225"/>
      <c r="C225"/>
      <c r="D225"/>
      <c r="E225"/>
      <c r="F225"/>
      <c r="G225"/>
      <c r="H225"/>
    </row>
    <row r="226" spans="1:8" ht="14.25" customHeight="1" x14ac:dyDescent="0.3">
      <c r="A226"/>
      <c r="B226"/>
      <c r="C226"/>
      <c r="D226"/>
      <c r="E226"/>
      <c r="F226"/>
      <c r="G226"/>
      <c r="H226"/>
    </row>
    <row r="227" spans="1:8" ht="14.25" customHeight="1" x14ac:dyDescent="0.3">
      <c r="A227"/>
      <c r="B227"/>
      <c r="C227"/>
      <c r="D227"/>
      <c r="E227"/>
      <c r="F227"/>
      <c r="G227"/>
      <c r="H227"/>
    </row>
    <row r="228" spans="1:8" ht="14.25" customHeight="1" x14ac:dyDescent="0.3">
      <c r="A228"/>
      <c r="B228"/>
      <c r="C228"/>
      <c r="D228"/>
      <c r="E228"/>
      <c r="F228"/>
      <c r="G228"/>
      <c r="H228"/>
    </row>
    <row r="229" spans="1:8" ht="14.25" customHeight="1" x14ac:dyDescent="0.3">
      <c r="A229"/>
      <c r="B229"/>
      <c r="C229"/>
      <c r="D229"/>
      <c r="E229"/>
      <c r="F229"/>
      <c r="G229"/>
      <c r="H229"/>
    </row>
    <row r="230" spans="1:8" ht="14.25" customHeight="1" x14ac:dyDescent="0.3">
      <c r="A230"/>
      <c r="B230"/>
      <c r="C230"/>
      <c r="D230"/>
      <c r="E230"/>
      <c r="F230"/>
      <c r="G230"/>
      <c r="H230"/>
    </row>
    <row r="231" spans="1:8" ht="14.25" customHeight="1" x14ac:dyDescent="0.3">
      <c r="A231"/>
      <c r="B231"/>
      <c r="C231"/>
      <c r="D231"/>
      <c r="E231"/>
      <c r="F231"/>
      <c r="G231"/>
      <c r="H231"/>
    </row>
    <row r="232" spans="1:8" ht="14.25" customHeight="1" x14ac:dyDescent="0.3">
      <c r="A232"/>
      <c r="B232"/>
      <c r="C232"/>
      <c r="D232"/>
      <c r="E232"/>
      <c r="F232"/>
      <c r="G232"/>
      <c r="H232"/>
    </row>
    <row r="233" spans="1:8" ht="14.25" customHeight="1" x14ac:dyDescent="0.3">
      <c r="A233"/>
      <c r="B233"/>
      <c r="C233"/>
      <c r="D233"/>
      <c r="E233"/>
      <c r="F233"/>
      <c r="G233"/>
      <c r="H233"/>
    </row>
    <row r="234" spans="1:8" ht="14.25" customHeight="1" x14ac:dyDescent="0.3">
      <c r="A234"/>
      <c r="B234"/>
      <c r="C234"/>
      <c r="D234"/>
      <c r="E234"/>
      <c r="F234"/>
      <c r="G234"/>
      <c r="H234"/>
    </row>
    <row r="235" spans="1:8" ht="14.25" customHeight="1" x14ac:dyDescent="0.3">
      <c r="A235"/>
      <c r="B235"/>
      <c r="C235"/>
      <c r="D235"/>
      <c r="E235"/>
      <c r="F235"/>
      <c r="G235"/>
      <c r="H235"/>
    </row>
    <row r="236" spans="1:8" ht="14.25" customHeight="1" x14ac:dyDescent="0.3">
      <c r="A236"/>
      <c r="B236"/>
      <c r="C236"/>
      <c r="D236"/>
      <c r="E236"/>
      <c r="F236"/>
      <c r="G236"/>
      <c r="H236"/>
    </row>
    <row r="237" spans="1:8" ht="14.25" customHeight="1" x14ac:dyDescent="0.3">
      <c r="A237"/>
      <c r="B237"/>
      <c r="C237"/>
      <c r="D237"/>
      <c r="E237"/>
      <c r="F237"/>
      <c r="G237"/>
      <c r="H237"/>
    </row>
    <row r="238" spans="1:8" ht="14.25" customHeight="1" x14ac:dyDescent="0.3">
      <c r="A238"/>
      <c r="B238"/>
      <c r="C238"/>
      <c r="D238"/>
      <c r="E238"/>
      <c r="F238"/>
      <c r="G238"/>
      <c r="H238"/>
    </row>
    <row r="239" spans="1:8" ht="14.25" customHeight="1" x14ac:dyDescent="0.3">
      <c r="A239"/>
      <c r="B239"/>
      <c r="C239"/>
      <c r="D239"/>
      <c r="E239"/>
      <c r="F239"/>
      <c r="G239"/>
      <c r="H239"/>
    </row>
    <row r="240" spans="1:8" ht="14.25" customHeight="1" x14ac:dyDescent="0.3">
      <c r="A240"/>
      <c r="B240"/>
      <c r="C240"/>
      <c r="D240"/>
      <c r="E240"/>
      <c r="F240"/>
      <c r="G240"/>
      <c r="H240"/>
    </row>
    <row r="241" spans="1:8" ht="14.25" customHeight="1" x14ac:dyDescent="0.3">
      <c r="A241"/>
      <c r="B241"/>
      <c r="C241"/>
      <c r="D241"/>
      <c r="E241"/>
      <c r="F241"/>
      <c r="G241"/>
      <c r="H241"/>
    </row>
    <row r="242" spans="1:8" ht="14.25" customHeight="1" x14ac:dyDescent="0.3">
      <c r="A242"/>
      <c r="B242"/>
      <c r="C242"/>
      <c r="D242"/>
      <c r="E242"/>
      <c r="F242"/>
      <c r="G242"/>
      <c r="H242"/>
    </row>
    <row r="243" spans="1:8" ht="14.25" customHeight="1" x14ac:dyDescent="0.3">
      <c r="A243"/>
      <c r="B243"/>
      <c r="C243"/>
      <c r="D243"/>
      <c r="E243"/>
      <c r="F243"/>
      <c r="G243"/>
      <c r="H243"/>
    </row>
    <row r="244" spans="1:8" ht="14.25" customHeight="1" x14ac:dyDescent="0.3">
      <c r="A244"/>
      <c r="B244"/>
      <c r="C244"/>
      <c r="D244"/>
      <c r="E244"/>
      <c r="F244"/>
      <c r="G244"/>
      <c r="H244"/>
    </row>
    <row r="245" spans="1:8" ht="14.25" customHeight="1" x14ac:dyDescent="0.3">
      <c r="A245"/>
      <c r="B245"/>
      <c r="C245"/>
      <c r="D245"/>
      <c r="E245"/>
      <c r="F245"/>
      <c r="G245"/>
      <c r="H245"/>
    </row>
    <row r="246" spans="1:8" ht="14.25" customHeight="1" x14ac:dyDescent="0.3">
      <c r="A246"/>
      <c r="B246"/>
      <c r="C246"/>
      <c r="D246"/>
      <c r="E246"/>
      <c r="F246"/>
      <c r="G246"/>
      <c r="H246"/>
    </row>
    <row r="247" spans="1:8" ht="14.25" customHeight="1" x14ac:dyDescent="0.3">
      <c r="A247"/>
      <c r="B247"/>
      <c r="C247"/>
      <c r="D247"/>
      <c r="E247"/>
      <c r="F247"/>
      <c r="G247"/>
      <c r="H247"/>
    </row>
    <row r="248" spans="1:8" ht="14.25" customHeight="1" x14ac:dyDescent="0.3">
      <c r="A248"/>
      <c r="B248"/>
      <c r="C248"/>
      <c r="D248"/>
      <c r="E248"/>
      <c r="F248"/>
      <c r="G248"/>
      <c r="H248"/>
    </row>
    <row r="249" spans="1:8" ht="14.25" customHeight="1" x14ac:dyDescent="0.3">
      <c r="A249"/>
      <c r="B249"/>
      <c r="C249"/>
      <c r="D249"/>
      <c r="E249"/>
      <c r="F249"/>
      <c r="G249"/>
      <c r="H249"/>
    </row>
    <row r="250" spans="1:8" ht="14.25" customHeight="1" x14ac:dyDescent="0.3">
      <c r="A250"/>
      <c r="B250"/>
      <c r="C250"/>
      <c r="D250"/>
      <c r="E250"/>
      <c r="F250"/>
      <c r="G250"/>
      <c r="H250"/>
    </row>
    <row r="251" spans="1:8" ht="14.25" customHeight="1" x14ac:dyDescent="0.3">
      <c r="A251"/>
      <c r="B251"/>
      <c r="C251"/>
      <c r="D251"/>
      <c r="E251"/>
      <c r="F251"/>
      <c r="G251"/>
      <c r="H251"/>
    </row>
    <row r="252" spans="1:8" ht="14.25" customHeight="1" x14ac:dyDescent="0.3">
      <c r="A252"/>
      <c r="B252"/>
      <c r="C252"/>
      <c r="D252"/>
      <c r="E252"/>
      <c r="F252"/>
      <c r="G252"/>
      <c r="H252"/>
    </row>
    <row r="253" spans="1:8" ht="14.25" customHeight="1" x14ac:dyDescent="0.3">
      <c r="A253"/>
      <c r="B253"/>
      <c r="C253"/>
      <c r="D253"/>
      <c r="E253"/>
      <c r="F253"/>
      <c r="G253"/>
      <c r="H253"/>
    </row>
    <row r="254" spans="1:8" ht="14.25" customHeight="1" x14ac:dyDescent="0.3">
      <c r="A254"/>
      <c r="B254"/>
      <c r="C254"/>
      <c r="D254"/>
      <c r="E254"/>
      <c r="F254"/>
      <c r="G254"/>
      <c r="H254"/>
    </row>
    <row r="255" spans="1:8" ht="14.25" customHeight="1" x14ac:dyDescent="0.3">
      <c r="A255"/>
      <c r="B255"/>
      <c r="C255"/>
      <c r="D255"/>
      <c r="E255"/>
      <c r="F255"/>
      <c r="G255"/>
      <c r="H255"/>
    </row>
    <row r="256" spans="1:8" ht="14.25" customHeight="1" x14ac:dyDescent="0.3">
      <c r="A256"/>
      <c r="B256"/>
      <c r="C256"/>
      <c r="D256"/>
      <c r="E256"/>
      <c r="F256"/>
      <c r="G256"/>
      <c r="H256"/>
    </row>
    <row r="257" spans="1:8" ht="14.25" customHeight="1" x14ac:dyDescent="0.3">
      <c r="A257"/>
      <c r="B257"/>
      <c r="C257"/>
      <c r="D257"/>
      <c r="E257"/>
      <c r="F257"/>
      <c r="G257"/>
      <c r="H257"/>
    </row>
    <row r="258" spans="1:8" ht="14.25" customHeight="1" x14ac:dyDescent="0.3">
      <c r="A258"/>
      <c r="B258"/>
      <c r="C258"/>
      <c r="D258"/>
      <c r="E258"/>
      <c r="F258"/>
      <c r="G258"/>
      <c r="H258"/>
    </row>
    <row r="259" spans="1:8" ht="14.25" customHeight="1" x14ac:dyDescent="0.3">
      <c r="A259"/>
      <c r="B259"/>
      <c r="C259"/>
      <c r="D259"/>
      <c r="E259"/>
      <c r="F259"/>
      <c r="G259"/>
      <c r="H259"/>
    </row>
    <row r="260" spans="1:8" ht="14.25" customHeight="1" x14ac:dyDescent="0.3">
      <c r="A260"/>
      <c r="B260"/>
      <c r="C260"/>
      <c r="D260"/>
      <c r="E260"/>
      <c r="F260"/>
      <c r="G260"/>
      <c r="H260"/>
    </row>
    <row r="261" spans="1:8" ht="14.25" customHeight="1" x14ac:dyDescent="0.3">
      <c r="A261"/>
      <c r="B261"/>
      <c r="C261"/>
      <c r="D261"/>
      <c r="E261"/>
      <c r="F261"/>
      <c r="G261"/>
      <c r="H261"/>
    </row>
    <row r="262" spans="1:8" ht="14.25" customHeight="1" x14ac:dyDescent="0.3">
      <c r="A262"/>
      <c r="B262"/>
      <c r="C262"/>
      <c r="D262"/>
      <c r="E262"/>
      <c r="F262"/>
      <c r="G262"/>
      <c r="H262"/>
    </row>
    <row r="263" spans="1:8" ht="14.25" customHeight="1" x14ac:dyDescent="0.3">
      <c r="A263"/>
      <c r="B263"/>
      <c r="C263"/>
      <c r="D263"/>
      <c r="E263"/>
      <c r="F263"/>
      <c r="G263"/>
      <c r="H263"/>
    </row>
    <row r="264" spans="1:8" ht="14.25" customHeight="1" x14ac:dyDescent="0.3">
      <c r="A264"/>
      <c r="B264"/>
      <c r="C264"/>
      <c r="D264"/>
      <c r="E264"/>
      <c r="F264"/>
      <c r="G264"/>
      <c r="H264"/>
    </row>
    <row r="265" spans="1:8" ht="14.25" customHeight="1" x14ac:dyDescent="0.3">
      <c r="A265"/>
      <c r="B265"/>
      <c r="C265"/>
      <c r="D265"/>
      <c r="E265"/>
      <c r="F265"/>
      <c r="G265"/>
      <c r="H265"/>
    </row>
    <row r="266" spans="1:8" ht="14.25" customHeight="1" x14ac:dyDescent="0.3">
      <c r="A266"/>
      <c r="B266"/>
      <c r="C266"/>
      <c r="D266"/>
      <c r="E266"/>
      <c r="F266"/>
      <c r="G266"/>
      <c r="H266"/>
    </row>
    <row r="267" spans="1:8" ht="14.25" customHeight="1" x14ac:dyDescent="0.3">
      <c r="A267"/>
      <c r="B267"/>
      <c r="C267"/>
      <c r="D267"/>
      <c r="E267"/>
      <c r="F267"/>
      <c r="G267"/>
      <c r="H267"/>
    </row>
    <row r="268" spans="1:8" ht="14.25" customHeight="1" x14ac:dyDescent="0.3">
      <c r="A268"/>
      <c r="B268"/>
      <c r="C268"/>
      <c r="D268"/>
      <c r="E268"/>
      <c r="F268"/>
      <c r="G268"/>
      <c r="H268"/>
    </row>
    <row r="269" spans="1:8" ht="14.25" customHeight="1" x14ac:dyDescent="0.3">
      <c r="A269"/>
      <c r="B269"/>
      <c r="C269"/>
      <c r="D269"/>
      <c r="E269"/>
      <c r="F269"/>
      <c r="G269"/>
      <c r="H269"/>
    </row>
    <row r="270" spans="1:8" ht="14.25" customHeight="1" x14ac:dyDescent="0.3">
      <c r="A270"/>
      <c r="B270"/>
      <c r="C270"/>
      <c r="D270"/>
      <c r="E270"/>
      <c r="F270"/>
      <c r="G270"/>
      <c r="H270"/>
    </row>
    <row r="271" spans="1:8" ht="14.25" customHeight="1" x14ac:dyDescent="0.3">
      <c r="A271"/>
      <c r="B271"/>
      <c r="C271"/>
      <c r="D271"/>
      <c r="E271"/>
      <c r="F271"/>
      <c r="G271"/>
      <c r="H271"/>
    </row>
    <row r="272" spans="1:8" ht="14.25" customHeight="1" x14ac:dyDescent="0.3">
      <c r="A272"/>
      <c r="B272"/>
      <c r="C272"/>
      <c r="D272"/>
      <c r="E272"/>
      <c r="F272"/>
      <c r="G272"/>
      <c r="H272"/>
    </row>
    <row r="273" spans="1:8" ht="14.25" customHeight="1" x14ac:dyDescent="0.3">
      <c r="A273"/>
      <c r="B273"/>
      <c r="C273"/>
      <c r="D273"/>
      <c r="E273"/>
      <c r="F273"/>
      <c r="G273"/>
      <c r="H273"/>
    </row>
    <row r="274" spans="1:8" ht="14.25" customHeight="1" x14ac:dyDescent="0.3">
      <c r="A274"/>
      <c r="B274"/>
      <c r="C274"/>
      <c r="D274"/>
      <c r="E274"/>
      <c r="F274"/>
      <c r="G274"/>
      <c r="H274"/>
    </row>
    <row r="275" spans="1:8" ht="14.25" customHeight="1" x14ac:dyDescent="0.3">
      <c r="A275"/>
      <c r="B275"/>
      <c r="C275"/>
      <c r="D275"/>
      <c r="E275"/>
      <c r="F275"/>
      <c r="G275"/>
      <c r="H275"/>
    </row>
    <row r="276" spans="1:8" ht="14.25" customHeight="1" x14ac:dyDescent="0.3">
      <c r="A276"/>
      <c r="B276"/>
      <c r="C276"/>
      <c r="D276"/>
      <c r="E276"/>
      <c r="F276"/>
      <c r="G276"/>
      <c r="H276"/>
    </row>
    <row r="277" spans="1:8" ht="14.25" customHeight="1" x14ac:dyDescent="0.3">
      <c r="A277"/>
      <c r="B277"/>
      <c r="C277"/>
      <c r="D277"/>
      <c r="E277"/>
      <c r="F277"/>
      <c r="G277"/>
      <c r="H277"/>
    </row>
    <row r="278" spans="1:8" ht="14.25" customHeight="1" x14ac:dyDescent="0.3">
      <c r="A278"/>
      <c r="B278"/>
      <c r="C278"/>
      <c r="D278"/>
      <c r="E278"/>
      <c r="F278"/>
      <c r="G278"/>
      <c r="H278"/>
    </row>
    <row r="279" spans="1:8" ht="14.25" customHeight="1" x14ac:dyDescent="0.3">
      <c r="A279"/>
      <c r="B279"/>
      <c r="C279"/>
      <c r="D279"/>
      <c r="E279"/>
      <c r="F279"/>
      <c r="G279"/>
      <c r="H279"/>
    </row>
    <row r="280" spans="1:8" ht="14.25" customHeight="1" x14ac:dyDescent="0.3">
      <c r="A280"/>
      <c r="B280"/>
      <c r="C280"/>
      <c r="D280"/>
      <c r="E280"/>
      <c r="F280"/>
      <c r="G280"/>
      <c r="H280"/>
    </row>
    <row r="281" spans="1:8" ht="14.25" customHeight="1" x14ac:dyDescent="0.3">
      <c r="A281"/>
      <c r="B281"/>
      <c r="C281"/>
      <c r="D281"/>
      <c r="E281"/>
      <c r="F281"/>
      <c r="G281"/>
      <c r="H281"/>
    </row>
    <row r="282" spans="1:8" ht="14.25" customHeight="1" x14ac:dyDescent="0.3">
      <c r="A282"/>
      <c r="B282"/>
      <c r="C282"/>
      <c r="D282"/>
      <c r="E282"/>
      <c r="F282"/>
      <c r="G282"/>
      <c r="H282"/>
    </row>
    <row r="283" spans="1:8" ht="14.25" customHeight="1" x14ac:dyDescent="0.3">
      <c r="A283"/>
      <c r="B283"/>
      <c r="C283"/>
      <c r="D283"/>
      <c r="E283"/>
      <c r="F283"/>
      <c r="G283"/>
      <c r="H283"/>
    </row>
    <row r="284" spans="1:8" ht="14.25" customHeight="1" x14ac:dyDescent="0.3">
      <c r="A284"/>
      <c r="B284"/>
      <c r="C284"/>
      <c r="D284"/>
      <c r="E284"/>
      <c r="F284"/>
      <c r="G284"/>
      <c r="H284"/>
    </row>
    <row r="285" spans="1:8" ht="14.25" customHeight="1" x14ac:dyDescent="0.3">
      <c r="A285"/>
      <c r="B285"/>
      <c r="C285"/>
      <c r="D285"/>
      <c r="E285"/>
      <c r="F285"/>
      <c r="G285"/>
      <c r="H285"/>
    </row>
    <row r="286" spans="1:8" ht="14.25" customHeight="1" x14ac:dyDescent="0.3">
      <c r="A286"/>
      <c r="B286"/>
      <c r="C286"/>
      <c r="D286"/>
      <c r="E286"/>
      <c r="F286"/>
      <c r="G286"/>
      <c r="H286"/>
    </row>
    <row r="287" spans="1:8" ht="14.25" customHeight="1" x14ac:dyDescent="0.3">
      <c r="A287"/>
      <c r="B287"/>
      <c r="C287"/>
      <c r="D287"/>
      <c r="E287"/>
      <c r="F287"/>
      <c r="G287"/>
      <c r="H287"/>
    </row>
    <row r="288" spans="1:8" ht="14.25" customHeight="1" x14ac:dyDescent="0.3">
      <c r="A288"/>
      <c r="B288"/>
      <c r="C288"/>
      <c r="D288"/>
      <c r="E288"/>
      <c r="F288"/>
      <c r="G288"/>
      <c r="H288"/>
    </row>
    <row r="289" spans="1:8" ht="14.25" customHeight="1" x14ac:dyDescent="0.3">
      <c r="A289"/>
      <c r="B289"/>
      <c r="C289"/>
      <c r="D289"/>
      <c r="E289"/>
      <c r="F289"/>
      <c r="G289"/>
      <c r="H289"/>
    </row>
    <row r="290" spans="1:8" ht="14.25" customHeight="1" x14ac:dyDescent="0.3">
      <c r="A290"/>
      <c r="B290"/>
      <c r="C290"/>
      <c r="D290"/>
      <c r="E290"/>
      <c r="F290"/>
      <c r="G290"/>
      <c r="H290"/>
    </row>
    <row r="291" spans="1:8" ht="14.25" customHeight="1" x14ac:dyDescent="0.3">
      <c r="A291"/>
      <c r="B291"/>
      <c r="C291"/>
      <c r="D291"/>
      <c r="E291"/>
      <c r="F291"/>
      <c r="G291"/>
      <c r="H291"/>
    </row>
    <row r="292" spans="1:8" ht="14.25" customHeight="1" x14ac:dyDescent="0.3">
      <c r="A292"/>
      <c r="B292"/>
      <c r="C292"/>
      <c r="D292"/>
      <c r="E292"/>
      <c r="F292"/>
      <c r="G292"/>
      <c r="H292"/>
    </row>
    <row r="293" spans="1:8" ht="14.25" customHeight="1" x14ac:dyDescent="0.3">
      <c r="A293"/>
      <c r="B293"/>
      <c r="C293"/>
      <c r="D293"/>
      <c r="E293"/>
      <c r="F293"/>
      <c r="G293"/>
      <c r="H293"/>
    </row>
    <row r="294" spans="1:8" ht="14.25" customHeight="1" x14ac:dyDescent="0.3">
      <c r="A294"/>
      <c r="B294"/>
      <c r="C294"/>
      <c r="D294"/>
      <c r="E294"/>
      <c r="F294"/>
      <c r="G294"/>
      <c r="H294"/>
    </row>
    <row r="295" spans="1:8" ht="14.25" customHeight="1" x14ac:dyDescent="0.3">
      <c r="A295"/>
      <c r="B295"/>
      <c r="C295"/>
      <c r="D295"/>
      <c r="E295"/>
      <c r="F295"/>
      <c r="G295"/>
      <c r="H295"/>
    </row>
    <row r="296" spans="1:8" ht="14.25" customHeight="1" x14ac:dyDescent="0.3">
      <c r="A296"/>
      <c r="B296"/>
      <c r="C296"/>
      <c r="D296"/>
      <c r="E296"/>
      <c r="F296"/>
      <c r="G296"/>
      <c r="H296"/>
    </row>
    <row r="297" spans="1:8" ht="14.25" customHeight="1" x14ac:dyDescent="0.3">
      <c r="A297"/>
      <c r="B297"/>
      <c r="C297"/>
      <c r="D297"/>
      <c r="E297"/>
      <c r="F297"/>
      <c r="G297"/>
      <c r="H297"/>
    </row>
    <row r="298" spans="1:8" ht="14.25" customHeight="1" x14ac:dyDescent="0.3">
      <c r="A298"/>
      <c r="B298"/>
      <c r="C298"/>
      <c r="D298"/>
      <c r="E298"/>
      <c r="F298"/>
      <c r="G298"/>
      <c r="H298"/>
    </row>
    <row r="299" spans="1:8" ht="14.25" customHeight="1" x14ac:dyDescent="0.3">
      <c r="A299"/>
      <c r="B299"/>
      <c r="C299"/>
      <c r="D299"/>
      <c r="E299"/>
      <c r="F299"/>
      <c r="G299"/>
      <c r="H299"/>
    </row>
    <row r="300" spans="1:8" ht="14.25" customHeight="1" x14ac:dyDescent="0.3">
      <c r="A300"/>
      <c r="B300"/>
      <c r="C300"/>
      <c r="D300"/>
      <c r="E300"/>
      <c r="F300"/>
      <c r="G300"/>
      <c r="H300"/>
    </row>
    <row r="301" spans="1:8" ht="14.25" customHeight="1" x14ac:dyDescent="0.3">
      <c r="A301"/>
      <c r="B301"/>
      <c r="C301"/>
      <c r="D301"/>
      <c r="E301"/>
      <c r="F301"/>
      <c r="G301"/>
      <c r="H301"/>
    </row>
    <row r="302" spans="1:8" ht="14.25" customHeight="1" x14ac:dyDescent="0.3">
      <c r="A302"/>
      <c r="B302"/>
      <c r="C302"/>
      <c r="D302"/>
      <c r="E302"/>
      <c r="F302"/>
      <c r="G302"/>
      <c r="H302"/>
    </row>
    <row r="303" spans="1:8" ht="14.25" customHeight="1" x14ac:dyDescent="0.3">
      <c r="A303"/>
      <c r="B303"/>
      <c r="C303"/>
      <c r="D303"/>
      <c r="E303"/>
      <c r="F303"/>
      <c r="G303"/>
      <c r="H303"/>
    </row>
    <row r="304" spans="1:8" ht="14.25" customHeight="1" x14ac:dyDescent="0.3">
      <c r="A304"/>
      <c r="B304"/>
      <c r="C304"/>
      <c r="D304"/>
      <c r="E304"/>
      <c r="F304"/>
      <c r="G304"/>
      <c r="H304"/>
    </row>
    <row r="305" spans="1:8" ht="14.25" customHeight="1" x14ac:dyDescent="0.3">
      <c r="A305"/>
      <c r="B305"/>
      <c r="C305"/>
      <c r="D305"/>
      <c r="E305"/>
      <c r="F305"/>
      <c r="G305"/>
      <c r="H305"/>
    </row>
    <row r="306" spans="1:8" ht="14.25" customHeight="1" x14ac:dyDescent="0.3">
      <c r="A306"/>
      <c r="B306"/>
      <c r="C306"/>
      <c r="D306"/>
      <c r="E306"/>
      <c r="F306"/>
      <c r="G306"/>
      <c r="H306"/>
    </row>
    <row r="307" spans="1:8" ht="14.25" customHeight="1" x14ac:dyDescent="0.3">
      <c r="A307"/>
      <c r="B307"/>
      <c r="C307"/>
      <c r="D307"/>
      <c r="E307"/>
      <c r="F307"/>
      <c r="G307"/>
      <c r="H307"/>
    </row>
    <row r="308" spans="1:8" ht="14.25" customHeight="1" x14ac:dyDescent="0.3">
      <c r="A308"/>
      <c r="B308"/>
      <c r="C308"/>
      <c r="D308"/>
      <c r="E308"/>
      <c r="F308"/>
      <c r="G308"/>
      <c r="H308"/>
    </row>
    <row r="309" spans="1:8" ht="14.25" customHeight="1" x14ac:dyDescent="0.3">
      <c r="A309"/>
      <c r="B309"/>
      <c r="C309"/>
      <c r="D309"/>
      <c r="E309"/>
      <c r="F309"/>
      <c r="G309"/>
      <c r="H309"/>
    </row>
    <row r="310" spans="1:8" ht="14.25" customHeight="1" x14ac:dyDescent="0.3">
      <c r="A310"/>
      <c r="B310"/>
      <c r="C310"/>
      <c r="D310"/>
      <c r="E310"/>
      <c r="F310"/>
      <c r="G310"/>
      <c r="H310"/>
    </row>
    <row r="311" spans="1:8" ht="14.25" customHeight="1" x14ac:dyDescent="0.3">
      <c r="A311"/>
      <c r="B311"/>
      <c r="C311"/>
      <c r="D311"/>
      <c r="E311"/>
      <c r="F311"/>
      <c r="G311"/>
      <c r="H311"/>
    </row>
    <row r="312" spans="1:8" ht="14.25" customHeight="1" x14ac:dyDescent="0.3">
      <c r="A312"/>
      <c r="B312"/>
      <c r="C312"/>
      <c r="D312"/>
      <c r="E312"/>
      <c r="F312"/>
      <c r="G312"/>
      <c r="H312"/>
    </row>
    <row r="313" spans="1:8" ht="14.25" customHeight="1" x14ac:dyDescent="0.3">
      <c r="A313"/>
      <c r="B313"/>
      <c r="C313"/>
      <c r="D313"/>
      <c r="E313"/>
      <c r="F313"/>
      <c r="G313"/>
      <c r="H313"/>
    </row>
    <row r="314" spans="1:8" ht="14.25" customHeight="1" x14ac:dyDescent="0.3">
      <c r="A314"/>
      <c r="B314"/>
      <c r="C314"/>
      <c r="D314"/>
      <c r="E314"/>
      <c r="F314"/>
      <c r="G314"/>
      <c r="H314"/>
    </row>
    <row r="315" spans="1:8" ht="14.25" customHeight="1" x14ac:dyDescent="0.3">
      <c r="A315"/>
      <c r="B315"/>
      <c r="C315"/>
      <c r="D315"/>
      <c r="E315"/>
      <c r="F315"/>
      <c r="G315"/>
      <c r="H315"/>
    </row>
    <row r="316" spans="1:8" ht="14.25" customHeight="1" x14ac:dyDescent="0.3">
      <c r="A316"/>
      <c r="B316"/>
      <c r="C316"/>
      <c r="D316"/>
      <c r="E316"/>
      <c r="F316"/>
      <c r="G316"/>
      <c r="H316"/>
    </row>
    <row r="317" spans="1:8" ht="14.25" customHeight="1" x14ac:dyDescent="0.3">
      <c r="A317"/>
      <c r="B317"/>
      <c r="C317"/>
      <c r="D317"/>
      <c r="E317"/>
      <c r="F317"/>
      <c r="G317"/>
      <c r="H317"/>
    </row>
    <row r="318" spans="1:8" ht="14.25" customHeight="1" x14ac:dyDescent="0.3">
      <c r="A318"/>
      <c r="B318"/>
      <c r="C318"/>
      <c r="D318"/>
      <c r="E318"/>
      <c r="F318"/>
      <c r="G318"/>
      <c r="H318"/>
    </row>
    <row r="319" spans="1:8" ht="14.25" customHeight="1" x14ac:dyDescent="0.3">
      <c r="A319"/>
      <c r="B319"/>
      <c r="C319"/>
      <c r="D319"/>
      <c r="E319"/>
      <c r="F319"/>
      <c r="G319"/>
      <c r="H319"/>
    </row>
    <row r="320" spans="1:8" ht="14.25" customHeight="1" x14ac:dyDescent="0.3">
      <c r="A320"/>
      <c r="B320"/>
      <c r="C320"/>
      <c r="D320"/>
      <c r="E320"/>
      <c r="F320"/>
      <c r="G320"/>
      <c r="H320"/>
    </row>
    <row r="321" spans="1:8" ht="14.25" customHeight="1" x14ac:dyDescent="0.3">
      <c r="A321"/>
      <c r="B321"/>
      <c r="C321"/>
      <c r="D321"/>
      <c r="E321"/>
      <c r="F321"/>
      <c r="G321"/>
      <c r="H321"/>
    </row>
    <row r="322" spans="1:8" ht="14.25" customHeight="1" x14ac:dyDescent="0.3">
      <c r="A322"/>
      <c r="B322"/>
      <c r="C322"/>
      <c r="D322"/>
      <c r="E322"/>
      <c r="F322"/>
      <c r="G322"/>
      <c r="H322"/>
    </row>
    <row r="323" spans="1:8" ht="14.25" customHeight="1" x14ac:dyDescent="0.3">
      <c r="A323"/>
      <c r="B323"/>
      <c r="C323"/>
      <c r="D323"/>
      <c r="E323"/>
      <c r="F323"/>
      <c r="G323"/>
      <c r="H323"/>
    </row>
    <row r="324" spans="1:8" ht="14.25" customHeight="1" x14ac:dyDescent="0.3">
      <c r="A324"/>
      <c r="B324"/>
      <c r="C324"/>
      <c r="D324"/>
      <c r="E324"/>
      <c r="F324"/>
      <c r="G324"/>
      <c r="H324"/>
    </row>
    <row r="325" spans="1:8" ht="14.25" customHeight="1" x14ac:dyDescent="0.3">
      <c r="A325"/>
      <c r="B325"/>
      <c r="C325"/>
      <c r="D325"/>
      <c r="E325"/>
      <c r="F325"/>
      <c r="G325"/>
      <c r="H325"/>
    </row>
    <row r="326" spans="1:8" ht="14.25" customHeight="1" x14ac:dyDescent="0.3">
      <c r="A326"/>
      <c r="B326"/>
      <c r="C326"/>
      <c r="D326"/>
      <c r="E326"/>
      <c r="F326"/>
      <c r="G326"/>
      <c r="H326"/>
    </row>
    <row r="327" spans="1:8" ht="14.25" customHeight="1" x14ac:dyDescent="0.3">
      <c r="A327"/>
      <c r="B327"/>
      <c r="C327"/>
      <c r="D327"/>
      <c r="E327"/>
      <c r="F327"/>
      <c r="G327"/>
      <c r="H327"/>
    </row>
    <row r="328" spans="1:8" ht="14.25" customHeight="1" x14ac:dyDescent="0.3">
      <c r="A328"/>
      <c r="B328"/>
      <c r="C328"/>
      <c r="D328"/>
      <c r="E328"/>
      <c r="F328"/>
      <c r="G328"/>
      <c r="H328"/>
    </row>
    <row r="329" spans="1:8" ht="14.25" customHeight="1" x14ac:dyDescent="0.3">
      <c r="A329"/>
      <c r="B329"/>
      <c r="C329"/>
      <c r="D329"/>
      <c r="E329"/>
      <c r="F329"/>
      <c r="G329"/>
      <c r="H329"/>
    </row>
    <row r="330" spans="1:8" ht="14.25" customHeight="1" x14ac:dyDescent="0.3">
      <c r="A330"/>
      <c r="B330"/>
      <c r="C330"/>
      <c r="D330"/>
      <c r="E330"/>
      <c r="F330"/>
      <c r="G330"/>
      <c r="H330"/>
    </row>
    <row r="331" spans="1:8" ht="14.25" customHeight="1" x14ac:dyDescent="0.3">
      <c r="A331"/>
      <c r="B331"/>
      <c r="C331"/>
      <c r="D331"/>
      <c r="E331"/>
      <c r="F331"/>
      <c r="G331"/>
      <c r="H331"/>
    </row>
    <row r="332" spans="1:8" ht="14.25" customHeight="1" x14ac:dyDescent="0.3">
      <c r="A332"/>
      <c r="B332"/>
      <c r="C332"/>
      <c r="D332"/>
      <c r="E332"/>
      <c r="F332"/>
      <c r="G332"/>
      <c r="H332"/>
    </row>
    <row r="333" spans="1:8" ht="14.25" customHeight="1" x14ac:dyDescent="0.3">
      <c r="A333"/>
      <c r="B333"/>
      <c r="C333"/>
      <c r="D333"/>
      <c r="E333"/>
      <c r="F333"/>
      <c r="G333"/>
      <c r="H333"/>
    </row>
    <row r="334" spans="1:8" ht="14.25" customHeight="1" x14ac:dyDescent="0.3">
      <c r="A334"/>
      <c r="B334"/>
      <c r="C334"/>
      <c r="D334"/>
      <c r="E334"/>
      <c r="F334"/>
      <c r="G334"/>
      <c r="H334"/>
    </row>
    <row r="335" spans="1:8" ht="14.25" customHeight="1" x14ac:dyDescent="0.3">
      <c r="A335"/>
      <c r="B335"/>
      <c r="C335"/>
      <c r="D335"/>
      <c r="E335"/>
      <c r="F335"/>
      <c r="G335"/>
      <c r="H335"/>
    </row>
    <row r="336" spans="1:8" ht="14.25" customHeight="1" x14ac:dyDescent="0.3">
      <c r="A336"/>
      <c r="B336"/>
      <c r="C336"/>
      <c r="D336"/>
      <c r="E336"/>
      <c r="F336"/>
      <c r="G336"/>
      <c r="H336"/>
    </row>
    <row r="337" spans="1:8" ht="14.25" customHeight="1" x14ac:dyDescent="0.3">
      <c r="A337"/>
      <c r="B337"/>
      <c r="C337"/>
      <c r="D337"/>
      <c r="E337"/>
      <c r="F337"/>
      <c r="G337"/>
      <c r="H337"/>
    </row>
    <row r="338" spans="1:8" ht="14.25" customHeight="1" x14ac:dyDescent="0.3">
      <c r="A338"/>
      <c r="B338"/>
      <c r="C338"/>
      <c r="D338"/>
      <c r="E338"/>
      <c r="F338"/>
      <c r="G338"/>
      <c r="H338"/>
    </row>
    <row r="339" spans="1:8" ht="14.25" customHeight="1" x14ac:dyDescent="0.3">
      <c r="A339"/>
      <c r="B339"/>
      <c r="C339"/>
      <c r="D339"/>
      <c r="E339"/>
      <c r="F339"/>
      <c r="G339"/>
      <c r="H339"/>
    </row>
    <row r="340" spans="1:8" ht="14.25" customHeight="1" x14ac:dyDescent="0.3">
      <c r="A340"/>
      <c r="B340"/>
      <c r="C340"/>
      <c r="D340"/>
      <c r="E340"/>
      <c r="F340"/>
      <c r="G340"/>
      <c r="H340"/>
    </row>
    <row r="341" spans="1:8" ht="14.25" customHeight="1" x14ac:dyDescent="0.3">
      <c r="A341"/>
      <c r="B341"/>
      <c r="C341"/>
      <c r="D341"/>
      <c r="E341"/>
      <c r="F341"/>
      <c r="G341"/>
      <c r="H341"/>
    </row>
    <row r="342" spans="1:8" ht="14.25" customHeight="1" x14ac:dyDescent="0.3">
      <c r="A342"/>
      <c r="B342"/>
      <c r="C342"/>
      <c r="D342"/>
      <c r="E342"/>
      <c r="F342"/>
      <c r="G342"/>
      <c r="H342"/>
    </row>
    <row r="343" spans="1:8" ht="14.25" customHeight="1" x14ac:dyDescent="0.3">
      <c r="A343"/>
      <c r="B343"/>
      <c r="C343"/>
      <c r="D343"/>
      <c r="E343"/>
      <c r="F343"/>
      <c r="G343"/>
      <c r="H343"/>
    </row>
    <row r="344" spans="1:8" ht="14.25" customHeight="1" x14ac:dyDescent="0.3">
      <c r="A344"/>
      <c r="B344"/>
      <c r="C344"/>
      <c r="D344"/>
      <c r="E344"/>
      <c r="F344"/>
      <c r="G344"/>
      <c r="H344"/>
    </row>
    <row r="345" spans="1:8" ht="14.25" customHeight="1" x14ac:dyDescent="0.3">
      <c r="A345"/>
      <c r="B345"/>
      <c r="C345"/>
      <c r="D345"/>
      <c r="E345"/>
      <c r="F345"/>
      <c r="G345"/>
      <c r="H345"/>
    </row>
    <row r="346" spans="1:8" ht="14.25" customHeight="1" x14ac:dyDescent="0.3">
      <c r="A346"/>
      <c r="B346"/>
      <c r="C346"/>
      <c r="D346"/>
      <c r="E346"/>
      <c r="F346"/>
      <c r="G346"/>
      <c r="H346"/>
    </row>
    <row r="347" spans="1:8" ht="14.25" customHeight="1" x14ac:dyDescent="0.3">
      <c r="A347"/>
      <c r="B347"/>
      <c r="C347"/>
      <c r="D347"/>
      <c r="E347"/>
      <c r="F347"/>
      <c r="G347"/>
      <c r="H347"/>
    </row>
    <row r="348" spans="1:8" ht="14.25" customHeight="1" x14ac:dyDescent="0.3">
      <c r="A348"/>
      <c r="B348"/>
      <c r="C348"/>
      <c r="D348"/>
      <c r="E348"/>
      <c r="F348"/>
      <c r="G348"/>
      <c r="H348"/>
    </row>
    <row r="349" spans="1:8" ht="14.25" customHeight="1" x14ac:dyDescent="0.3">
      <c r="A349"/>
      <c r="B349"/>
      <c r="C349"/>
      <c r="D349"/>
      <c r="E349"/>
      <c r="F349"/>
      <c r="G349"/>
      <c r="H349"/>
    </row>
    <row r="350" spans="1:8" ht="14.25" customHeight="1" x14ac:dyDescent="0.3">
      <c r="A350"/>
      <c r="B350"/>
      <c r="C350"/>
      <c r="D350"/>
      <c r="E350"/>
      <c r="F350"/>
      <c r="G350"/>
      <c r="H350"/>
    </row>
    <row r="351" spans="1:8" ht="14.25" customHeight="1" x14ac:dyDescent="0.3">
      <c r="A351"/>
      <c r="B351"/>
      <c r="C351"/>
      <c r="D351"/>
      <c r="E351"/>
      <c r="F351"/>
      <c r="G351"/>
      <c r="H351"/>
    </row>
    <row r="352" spans="1:8" ht="14.25" customHeight="1" x14ac:dyDescent="0.3">
      <c r="A352"/>
      <c r="B352"/>
      <c r="C352"/>
      <c r="D352"/>
      <c r="E352"/>
      <c r="F352"/>
      <c r="G352"/>
      <c r="H352"/>
    </row>
    <row r="353" spans="1:8" ht="14.25" customHeight="1" x14ac:dyDescent="0.3">
      <c r="A353"/>
      <c r="B353"/>
      <c r="C353"/>
      <c r="D353"/>
      <c r="E353"/>
      <c r="F353"/>
      <c r="G353"/>
      <c r="H353"/>
    </row>
    <row r="354" spans="1:8" ht="14.25" customHeight="1" x14ac:dyDescent="0.3">
      <c r="A354"/>
      <c r="B354"/>
      <c r="C354"/>
      <c r="D354"/>
      <c r="E354"/>
      <c r="F354"/>
      <c r="G354"/>
      <c r="H354"/>
    </row>
    <row r="355" spans="1:8" ht="14.25" customHeight="1" x14ac:dyDescent="0.3">
      <c r="A355"/>
      <c r="B355"/>
      <c r="C355"/>
      <c r="D355"/>
      <c r="E355"/>
      <c r="F355"/>
      <c r="G355"/>
      <c r="H355"/>
    </row>
    <row r="356" spans="1:8" ht="14.25" customHeight="1" x14ac:dyDescent="0.3">
      <c r="A356"/>
      <c r="B356"/>
      <c r="C356"/>
      <c r="D356"/>
      <c r="E356"/>
      <c r="F356"/>
      <c r="G356"/>
      <c r="H356"/>
    </row>
    <row r="357" spans="1:8" ht="14.25" customHeight="1" x14ac:dyDescent="0.3">
      <c r="A357"/>
      <c r="B357"/>
      <c r="C357"/>
      <c r="D357"/>
      <c r="E357"/>
      <c r="F357"/>
      <c r="G357"/>
      <c r="H357"/>
    </row>
    <row r="358" spans="1:8" ht="14.25" customHeight="1" x14ac:dyDescent="0.3">
      <c r="A358"/>
      <c r="B358"/>
      <c r="C358"/>
      <c r="D358"/>
      <c r="E358"/>
      <c r="F358"/>
      <c r="G358"/>
      <c r="H358"/>
    </row>
    <row r="359" spans="1:8" ht="14.25" customHeight="1" x14ac:dyDescent="0.3">
      <c r="A359"/>
      <c r="B359"/>
      <c r="C359"/>
      <c r="D359"/>
      <c r="E359"/>
      <c r="F359"/>
      <c r="G359"/>
      <c r="H359"/>
    </row>
    <row r="360" spans="1:8" ht="14.25" customHeight="1" x14ac:dyDescent="0.3">
      <c r="A360"/>
      <c r="B360"/>
      <c r="C360"/>
      <c r="D360"/>
      <c r="E360"/>
      <c r="F360"/>
      <c r="G360"/>
      <c r="H360"/>
    </row>
    <row r="361" spans="1:8" ht="14.25" customHeight="1" x14ac:dyDescent="0.3">
      <c r="A361"/>
      <c r="B361"/>
      <c r="C361"/>
      <c r="D361"/>
      <c r="E361"/>
      <c r="F361"/>
      <c r="G361"/>
      <c r="H361"/>
    </row>
    <row r="362" spans="1:8" ht="14.25" customHeight="1" x14ac:dyDescent="0.3">
      <c r="A362"/>
      <c r="B362"/>
      <c r="C362"/>
      <c r="D362"/>
      <c r="E362"/>
      <c r="F362"/>
      <c r="G362"/>
      <c r="H362"/>
    </row>
    <row r="363" spans="1:8" ht="14.25" customHeight="1" x14ac:dyDescent="0.3">
      <c r="A363"/>
      <c r="B363"/>
      <c r="C363"/>
      <c r="D363"/>
      <c r="E363"/>
      <c r="F363"/>
      <c r="G363"/>
      <c r="H363"/>
    </row>
    <row r="364" spans="1:8" ht="14.25" customHeight="1" x14ac:dyDescent="0.3">
      <c r="A364"/>
      <c r="B364"/>
      <c r="C364"/>
      <c r="D364"/>
      <c r="E364"/>
      <c r="F364"/>
      <c r="G364"/>
      <c r="H364"/>
    </row>
    <row r="365" spans="1:8" ht="14.25" customHeight="1" x14ac:dyDescent="0.3">
      <c r="A365"/>
      <c r="B365"/>
      <c r="C365"/>
      <c r="D365"/>
      <c r="E365"/>
      <c r="F365"/>
      <c r="G365"/>
      <c r="H365"/>
    </row>
    <row r="366" spans="1:8" ht="14.25" customHeight="1" x14ac:dyDescent="0.3">
      <c r="A366"/>
      <c r="B366"/>
      <c r="C366"/>
      <c r="D366"/>
      <c r="E366"/>
      <c r="F366"/>
      <c r="G366"/>
      <c r="H366"/>
    </row>
    <row r="367" spans="1:8" ht="14.25" customHeight="1" x14ac:dyDescent="0.3">
      <c r="A367"/>
      <c r="B367"/>
      <c r="C367"/>
      <c r="D367"/>
      <c r="E367"/>
      <c r="F367"/>
      <c r="G367"/>
      <c r="H367"/>
    </row>
    <row r="368" spans="1:8" ht="14.25" customHeight="1" x14ac:dyDescent="0.3">
      <c r="A368"/>
      <c r="B368"/>
      <c r="C368"/>
      <c r="D368"/>
      <c r="E368"/>
      <c r="F368"/>
      <c r="G368"/>
      <c r="H368"/>
    </row>
    <row r="369" spans="1:8" ht="14.25" customHeight="1" x14ac:dyDescent="0.3">
      <c r="A369"/>
      <c r="B369"/>
      <c r="C369"/>
      <c r="D369"/>
      <c r="E369"/>
      <c r="F369"/>
      <c r="G369"/>
      <c r="H369"/>
    </row>
    <row r="370" spans="1:8" ht="14.25" customHeight="1" x14ac:dyDescent="0.3">
      <c r="A370"/>
      <c r="B370"/>
      <c r="C370"/>
      <c r="D370"/>
      <c r="E370"/>
      <c r="F370"/>
      <c r="G370"/>
      <c r="H370"/>
    </row>
    <row r="371" spans="1:8" ht="14.25" customHeight="1" x14ac:dyDescent="0.3">
      <c r="A371"/>
      <c r="B371"/>
      <c r="C371"/>
      <c r="D371"/>
      <c r="E371"/>
      <c r="F371"/>
      <c r="G371"/>
      <c r="H371"/>
    </row>
    <row r="372" spans="1:8" ht="14.25" customHeight="1" x14ac:dyDescent="0.3">
      <c r="A372"/>
      <c r="B372"/>
      <c r="C372"/>
      <c r="D372"/>
      <c r="E372"/>
      <c r="F372"/>
      <c r="G372"/>
      <c r="H372"/>
    </row>
    <row r="373" spans="1:8" ht="14.25" customHeight="1" x14ac:dyDescent="0.3">
      <c r="A373"/>
      <c r="B373"/>
      <c r="C373"/>
      <c r="D373"/>
      <c r="E373"/>
      <c r="F373"/>
      <c r="G373"/>
      <c r="H373"/>
    </row>
    <row r="374" spans="1:8" ht="14.25" customHeight="1" x14ac:dyDescent="0.3">
      <c r="A374"/>
      <c r="B374"/>
      <c r="C374"/>
      <c r="D374"/>
      <c r="E374"/>
      <c r="F374"/>
      <c r="G374"/>
      <c r="H374"/>
    </row>
    <row r="375" spans="1:8" ht="14.25" customHeight="1" x14ac:dyDescent="0.3">
      <c r="A375"/>
      <c r="B375"/>
      <c r="C375"/>
      <c r="D375"/>
      <c r="E375"/>
      <c r="F375"/>
      <c r="G375"/>
      <c r="H375"/>
    </row>
    <row r="376" spans="1:8" ht="14.25" customHeight="1" x14ac:dyDescent="0.3">
      <c r="A376"/>
      <c r="B376"/>
      <c r="C376"/>
      <c r="D376"/>
      <c r="E376"/>
      <c r="F376"/>
      <c r="G376"/>
      <c r="H376"/>
    </row>
    <row r="377" spans="1:8" ht="14.25" customHeight="1" x14ac:dyDescent="0.3">
      <c r="A377"/>
      <c r="B377"/>
      <c r="C377"/>
      <c r="D377"/>
      <c r="E377"/>
      <c r="F377"/>
      <c r="G377"/>
      <c r="H377"/>
    </row>
    <row r="378" spans="1:8" ht="14.25" customHeight="1" x14ac:dyDescent="0.3">
      <c r="A378"/>
      <c r="B378"/>
      <c r="C378"/>
      <c r="D378"/>
      <c r="E378"/>
      <c r="F378"/>
      <c r="G378"/>
      <c r="H378"/>
    </row>
    <row r="379" spans="1:8" ht="14.25" customHeight="1" x14ac:dyDescent="0.3">
      <c r="A379"/>
      <c r="B379"/>
      <c r="C379"/>
      <c r="D379"/>
      <c r="E379"/>
      <c r="F379"/>
      <c r="G379"/>
      <c r="H379"/>
    </row>
    <row r="380" spans="1:8" ht="14.25" customHeight="1" x14ac:dyDescent="0.3">
      <c r="A380"/>
      <c r="B380"/>
      <c r="C380"/>
      <c r="D380"/>
      <c r="E380"/>
      <c r="F380"/>
      <c r="G380"/>
      <c r="H380"/>
    </row>
    <row r="381" spans="1:8" ht="14.25" customHeight="1" x14ac:dyDescent="0.3">
      <c r="A381"/>
      <c r="B381"/>
      <c r="C381"/>
      <c r="D381"/>
      <c r="E381"/>
      <c r="F381"/>
      <c r="G381"/>
      <c r="H381"/>
    </row>
    <row r="382" spans="1:8" ht="14.25" customHeight="1" x14ac:dyDescent="0.3">
      <c r="A382"/>
      <c r="B382"/>
      <c r="C382"/>
      <c r="D382"/>
      <c r="E382"/>
      <c r="F382"/>
      <c r="G382"/>
      <c r="H382"/>
    </row>
    <row r="383" spans="1:8" ht="14.25" customHeight="1" x14ac:dyDescent="0.3">
      <c r="A383"/>
      <c r="B383"/>
      <c r="C383"/>
      <c r="D383"/>
      <c r="E383"/>
      <c r="F383"/>
      <c r="G383"/>
      <c r="H383"/>
    </row>
    <row r="384" spans="1:8" ht="14.25" customHeight="1" x14ac:dyDescent="0.3">
      <c r="A384"/>
      <c r="B384"/>
      <c r="C384"/>
      <c r="D384"/>
      <c r="E384"/>
      <c r="F384"/>
      <c r="G384"/>
      <c r="H384"/>
    </row>
    <row r="385" spans="1:8" ht="14.25" customHeight="1" x14ac:dyDescent="0.3">
      <c r="A385"/>
      <c r="B385"/>
      <c r="C385"/>
      <c r="D385"/>
      <c r="E385"/>
      <c r="F385"/>
      <c r="G385"/>
      <c r="H385"/>
    </row>
    <row r="386" spans="1:8" ht="14.25" customHeight="1" x14ac:dyDescent="0.3">
      <c r="A386"/>
      <c r="B386"/>
      <c r="C386"/>
      <c r="D386"/>
      <c r="E386"/>
      <c r="F386"/>
      <c r="G386"/>
      <c r="H386"/>
    </row>
    <row r="387" spans="1:8" ht="14.25" customHeight="1" x14ac:dyDescent="0.3">
      <c r="A387"/>
      <c r="B387"/>
      <c r="C387"/>
      <c r="D387"/>
      <c r="E387"/>
      <c r="F387"/>
      <c r="G387"/>
      <c r="H387"/>
    </row>
    <row r="388" spans="1:8" ht="14.25" customHeight="1" x14ac:dyDescent="0.3">
      <c r="A388"/>
      <c r="B388"/>
      <c r="C388"/>
      <c r="D388"/>
      <c r="E388"/>
      <c r="F388"/>
      <c r="G388"/>
      <c r="H388"/>
    </row>
    <row r="389" spans="1:8" ht="14.25" customHeight="1" x14ac:dyDescent="0.3">
      <c r="A389"/>
      <c r="B389"/>
      <c r="C389"/>
      <c r="D389"/>
      <c r="E389"/>
      <c r="F389"/>
      <c r="G389"/>
      <c r="H389"/>
    </row>
    <row r="390" spans="1:8" ht="14.25" customHeight="1" x14ac:dyDescent="0.3">
      <c r="A390"/>
      <c r="B390"/>
      <c r="C390"/>
      <c r="D390"/>
      <c r="E390"/>
      <c r="F390"/>
      <c r="G390"/>
      <c r="H390"/>
    </row>
    <row r="391" spans="1:8" ht="14.25" customHeight="1" x14ac:dyDescent="0.3">
      <c r="A391"/>
      <c r="B391"/>
      <c r="C391"/>
      <c r="D391"/>
      <c r="E391"/>
      <c r="F391"/>
      <c r="G391"/>
      <c r="H391"/>
    </row>
    <row r="392" spans="1:8" ht="14.25" customHeight="1" x14ac:dyDescent="0.3">
      <c r="A392"/>
      <c r="B392"/>
      <c r="C392"/>
      <c r="D392"/>
      <c r="E392"/>
      <c r="F392"/>
      <c r="G392"/>
      <c r="H392"/>
    </row>
    <row r="393" spans="1:8" ht="14.25" customHeight="1" x14ac:dyDescent="0.3">
      <c r="A393"/>
      <c r="B393"/>
      <c r="C393"/>
      <c r="D393"/>
      <c r="E393"/>
      <c r="F393"/>
      <c r="G393"/>
      <c r="H393"/>
    </row>
    <row r="394" spans="1:8" ht="14.25" customHeight="1" x14ac:dyDescent="0.3">
      <c r="A394"/>
      <c r="B394"/>
      <c r="C394"/>
      <c r="D394"/>
      <c r="E394"/>
      <c r="F394"/>
      <c r="G394"/>
      <c r="H394"/>
    </row>
    <row r="395" spans="1:8" ht="14.25" customHeight="1" x14ac:dyDescent="0.3">
      <c r="A395"/>
      <c r="B395"/>
      <c r="C395"/>
      <c r="D395"/>
      <c r="E395"/>
      <c r="F395"/>
      <c r="G395"/>
      <c r="H395"/>
    </row>
    <row r="396" spans="1:8" ht="14.25" customHeight="1" x14ac:dyDescent="0.3">
      <c r="A396"/>
      <c r="B396"/>
      <c r="C396"/>
      <c r="D396"/>
      <c r="E396"/>
      <c r="F396"/>
      <c r="G396"/>
      <c r="H396"/>
    </row>
    <row r="397" spans="1:8" ht="14.25" customHeight="1" x14ac:dyDescent="0.3">
      <c r="A397"/>
      <c r="B397"/>
      <c r="C397"/>
      <c r="D397"/>
      <c r="E397"/>
      <c r="F397"/>
      <c r="G397"/>
      <c r="H397"/>
    </row>
    <row r="398" spans="1:8" ht="14.25" customHeight="1" x14ac:dyDescent="0.3">
      <c r="A398"/>
      <c r="B398"/>
      <c r="C398"/>
      <c r="D398"/>
      <c r="E398"/>
      <c r="F398"/>
      <c r="G398"/>
      <c r="H398"/>
    </row>
    <row r="399" spans="1:8" ht="14.25" customHeight="1" x14ac:dyDescent="0.3">
      <c r="A399"/>
      <c r="B399"/>
      <c r="C399"/>
      <c r="D399"/>
      <c r="E399"/>
      <c r="F399"/>
      <c r="G399"/>
      <c r="H399"/>
    </row>
    <row r="400" spans="1:8" ht="14.25" customHeight="1" x14ac:dyDescent="0.3">
      <c r="A400"/>
      <c r="B400"/>
      <c r="C400"/>
      <c r="D400"/>
      <c r="E400"/>
      <c r="F400"/>
      <c r="G400"/>
      <c r="H400"/>
    </row>
    <row r="401" spans="1:8" ht="14.25" customHeight="1" x14ac:dyDescent="0.3">
      <c r="A401"/>
      <c r="B401"/>
      <c r="C401"/>
      <c r="D401"/>
      <c r="E401"/>
      <c r="F401"/>
      <c r="G401"/>
      <c r="H401"/>
    </row>
    <row r="402" spans="1:8" ht="14.25" customHeight="1" x14ac:dyDescent="0.3">
      <c r="A402"/>
      <c r="B402"/>
      <c r="C402"/>
      <c r="D402"/>
      <c r="E402"/>
      <c r="F402"/>
      <c r="G402"/>
      <c r="H402"/>
    </row>
    <row r="403" spans="1:8" ht="14.25" customHeight="1" x14ac:dyDescent="0.3">
      <c r="A403"/>
      <c r="B403"/>
      <c r="C403"/>
      <c r="D403"/>
      <c r="E403"/>
      <c r="F403"/>
      <c r="G403"/>
      <c r="H403"/>
    </row>
    <row r="404" spans="1:8" ht="14.25" customHeight="1" x14ac:dyDescent="0.3">
      <c r="A404"/>
      <c r="B404"/>
      <c r="C404"/>
      <c r="D404"/>
      <c r="E404"/>
      <c r="F404"/>
      <c r="G404"/>
      <c r="H404"/>
    </row>
    <row r="405" spans="1:8" ht="14.25" customHeight="1" x14ac:dyDescent="0.3">
      <c r="A405"/>
      <c r="B405"/>
      <c r="C405"/>
      <c r="D405"/>
      <c r="E405"/>
      <c r="F405"/>
      <c r="G405"/>
      <c r="H405"/>
    </row>
    <row r="406" spans="1:8" ht="14.25" customHeight="1" x14ac:dyDescent="0.3">
      <c r="A406"/>
      <c r="B406"/>
      <c r="C406"/>
      <c r="D406"/>
      <c r="E406"/>
      <c r="F406"/>
      <c r="G406"/>
      <c r="H406"/>
    </row>
    <row r="407" spans="1:8" ht="14.25" customHeight="1" x14ac:dyDescent="0.3">
      <c r="A407"/>
      <c r="B407"/>
      <c r="C407"/>
      <c r="D407"/>
      <c r="E407"/>
      <c r="F407"/>
      <c r="G407"/>
      <c r="H407"/>
    </row>
    <row r="408" spans="1:8" ht="14.25" customHeight="1" x14ac:dyDescent="0.3">
      <c r="A408"/>
      <c r="B408"/>
      <c r="C408"/>
      <c r="D408"/>
      <c r="E408"/>
      <c r="F408"/>
      <c r="G408"/>
      <c r="H408"/>
    </row>
    <row r="409" spans="1:8" ht="14.25" customHeight="1" x14ac:dyDescent="0.3">
      <c r="A409"/>
      <c r="B409"/>
      <c r="C409"/>
      <c r="D409"/>
      <c r="E409"/>
      <c r="F409"/>
      <c r="G409"/>
      <c r="H409"/>
    </row>
    <row r="410" spans="1:8" ht="14.25" customHeight="1" x14ac:dyDescent="0.3">
      <c r="A410"/>
      <c r="B410"/>
      <c r="C410"/>
      <c r="D410"/>
      <c r="E410"/>
      <c r="F410"/>
      <c r="G410"/>
      <c r="H410"/>
    </row>
    <row r="411" spans="1:8" ht="14.25" customHeight="1" x14ac:dyDescent="0.3">
      <c r="A411"/>
      <c r="B411"/>
      <c r="C411"/>
      <c r="D411"/>
      <c r="E411"/>
      <c r="F411"/>
      <c r="G411"/>
      <c r="H411"/>
    </row>
    <row r="412" spans="1:8" ht="14.25" customHeight="1" x14ac:dyDescent="0.3">
      <c r="A412"/>
      <c r="B412"/>
      <c r="C412"/>
      <c r="D412"/>
      <c r="E412"/>
      <c r="F412"/>
      <c r="G412"/>
      <c r="H412"/>
    </row>
    <row r="413" spans="1:8" ht="14.25" customHeight="1" x14ac:dyDescent="0.3">
      <c r="A413"/>
      <c r="B413"/>
      <c r="C413"/>
      <c r="D413"/>
      <c r="E413"/>
      <c r="F413"/>
      <c r="G413"/>
      <c r="H413"/>
    </row>
    <row r="414" spans="1:8" ht="14.25" customHeight="1" x14ac:dyDescent="0.3">
      <c r="A414"/>
      <c r="B414"/>
      <c r="C414"/>
      <c r="D414"/>
      <c r="E414"/>
      <c r="F414"/>
      <c r="G414"/>
      <c r="H414"/>
    </row>
    <row r="415" spans="1:8" ht="14.25" customHeight="1" x14ac:dyDescent="0.3">
      <c r="A415"/>
      <c r="B415"/>
      <c r="C415"/>
      <c r="D415"/>
      <c r="E415"/>
      <c r="F415"/>
      <c r="G415"/>
      <c r="H415"/>
    </row>
    <row r="416" spans="1:8" ht="14.25" customHeight="1" x14ac:dyDescent="0.3">
      <c r="A416"/>
      <c r="B416"/>
      <c r="C416"/>
      <c r="D416"/>
      <c r="E416"/>
      <c r="F416"/>
      <c r="G416"/>
      <c r="H416"/>
    </row>
    <row r="417" spans="1:8" ht="14.25" customHeight="1" x14ac:dyDescent="0.3">
      <c r="A417"/>
      <c r="B417"/>
      <c r="C417"/>
      <c r="D417"/>
      <c r="E417"/>
      <c r="F417"/>
      <c r="G417"/>
      <c r="H417"/>
    </row>
    <row r="418" spans="1:8" ht="14.25" customHeight="1" x14ac:dyDescent="0.3">
      <c r="A418"/>
      <c r="B418"/>
      <c r="C418"/>
      <c r="D418"/>
      <c r="E418"/>
      <c r="F418"/>
      <c r="G418"/>
      <c r="H418"/>
    </row>
    <row r="419" spans="1:8" ht="14.25" customHeight="1" x14ac:dyDescent="0.3">
      <c r="A419"/>
      <c r="B419"/>
      <c r="C419"/>
      <c r="D419"/>
      <c r="E419"/>
      <c r="F419"/>
      <c r="G419"/>
      <c r="H419"/>
    </row>
    <row r="420" spans="1:8" ht="14.25" customHeight="1" x14ac:dyDescent="0.3">
      <c r="A420"/>
      <c r="B420"/>
      <c r="C420"/>
      <c r="D420"/>
      <c r="E420"/>
      <c r="F420"/>
      <c r="G420"/>
      <c r="H420"/>
    </row>
    <row r="421" spans="1:8" ht="14.25" customHeight="1" x14ac:dyDescent="0.3">
      <c r="A421"/>
      <c r="B421"/>
      <c r="C421"/>
      <c r="D421"/>
      <c r="E421"/>
      <c r="F421"/>
      <c r="G421"/>
      <c r="H421"/>
    </row>
    <row r="422" spans="1:8" ht="14.25" customHeight="1" x14ac:dyDescent="0.3">
      <c r="A422"/>
      <c r="B422"/>
      <c r="C422"/>
      <c r="D422"/>
      <c r="E422"/>
      <c r="F422"/>
      <c r="G422"/>
      <c r="H422"/>
    </row>
    <row r="423" spans="1:8" ht="14.25" customHeight="1" x14ac:dyDescent="0.3">
      <c r="A423"/>
      <c r="B423"/>
      <c r="C423"/>
      <c r="D423"/>
      <c r="E423"/>
      <c r="F423"/>
      <c r="G423"/>
      <c r="H423"/>
    </row>
    <row r="424" spans="1:8" ht="14.25" customHeight="1" x14ac:dyDescent="0.3">
      <c r="A424"/>
      <c r="B424"/>
      <c r="C424"/>
      <c r="D424"/>
      <c r="E424"/>
      <c r="F424"/>
      <c r="G424"/>
      <c r="H424"/>
    </row>
    <row r="425" spans="1:8" ht="14.25" customHeight="1" x14ac:dyDescent="0.3">
      <c r="A425"/>
      <c r="B425"/>
      <c r="C425"/>
      <c r="D425"/>
      <c r="E425"/>
      <c r="F425"/>
      <c r="G425"/>
      <c r="H425"/>
    </row>
    <row r="426" spans="1:8" ht="14.25" customHeight="1" x14ac:dyDescent="0.3">
      <c r="A426"/>
      <c r="B426"/>
      <c r="C426"/>
      <c r="D426"/>
      <c r="E426"/>
      <c r="F426"/>
      <c r="G426"/>
      <c r="H426"/>
    </row>
    <row r="427" spans="1:8" ht="14.25" customHeight="1" x14ac:dyDescent="0.3">
      <c r="A427"/>
      <c r="B427"/>
      <c r="C427"/>
      <c r="D427"/>
      <c r="E427"/>
      <c r="F427"/>
      <c r="G427"/>
      <c r="H427"/>
    </row>
    <row r="428" spans="1:8" ht="14.25" customHeight="1" x14ac:dyDescent="0.3">
      <c r="A428"/>
      <c r="B428"/>
      <c r="C428"/>
      <c r="D428"/>
      <c r="E428"/>
      <c r="F428"/>
      <c r="G428"/>
      <c r="H428"/>
    </row>
    <row r="429" spans="1:8" ht="14.25" customHeight="1" x14ac:dyDescent="0.3">
      <c r="A429"/>
      <c r="B429"/>
      <c r="C429"/>
      <c r="D429"/>
      <c r="E429"/>
      <c r="F429"/>
      <c r="G429"/>
      <c r="H429"/>
    </row>
    <row r="430" spans="1:8" ht="14.25" customHeight="1" x14ac:dyDescent="0.3">
      <c r="A430"/>
      <c r="B430"/>
      <c r="C430"/>
      <c r="D430"/>
      <c r="E430"/>
      <c r="F430"/>
      <c r="G430"/>
      <c r="H430"/>
    </row>
    <row r="431" spans="1:8" ht="14.25" customHeight="1" x14ac:dyDescent="0.3">
      <c r="A431"/>
      <c r="B431"/>
      <c r="C431"/>
      <c r="D431"/>
      <c r="E431"/>
      <c r="F431"/>
      <c r="G431"/>
      <c r="H431"/>
    </row>
    <row r="432" spans="1:8" ht="14.25" customHeight="1" x14ac:dyDescent="0.3">
      <c r="A432"/>
      <c r="B432"/>
      <c r="C432"/>
      <c r="D432"/>
      <c r="E432"/>
      <c r="F432"/>
      <c r="G432"/>
      <c r="H432"/>
    </row>
    <row r="433" spans="1:8" ht="14.25" customHeight="1" x14ac:dyDescent="0.3">
      <c r="A433"/>
      <c r="B433"/>
      <c r="C433"/>
      <c r="D433"/>
      <c r="E433"/>
      <c r="F433"/>
      <c r="G433"/>
      <c r="H433"/>
    </row>
    <row r="434" spans="1:8" ht="14.25" customHeight="1" x14ac:dyDescent="0.3">
      <c r="A434"/>
      <c r="B434"/>
      <c r="C434"/>
      <c r="D434"/>
      <c r="E434"/>
      <c r="F434"/>
      <c r="G434"/>
      <c r="H434"/>
    </row>
    <row r="435" spans="1:8" ht="14.25" customHeight="1" x14ac:dyDescent="0.3">
      <c r="A435"/>
      <c r="B435"/>
      <c r="C435"/>
      <c r="D435"/>
      <c r="E435"/>
      <c r="F435"/>
      <c r="G435"/>
      <c r="H435"/>
    </row>
    <row r="436" spans="1:8" ht="14.25" customHeight="1" x14ac:dyDescent="0.3">
      <c r="A436"/>
      <c r="B436"/>
      <c r="C436"/>
      <c r="D436"/>
      <c r="E436"/>
      <c r="F436"/>
      <c r="G436"/>
      <c r="H436"/>
    </row>
    <row r="437" spans="1:8" ht="14.25" customHeight="1" x14ac:dyDescent="0.3">
      <c r="A437"/>
      <c r="B437"/>
      <c r="C437"/>
      <c r="D437"/>
      <c r="E437"/>
      <c r="F437"/>
      <c r="G437"/>
      <c r="H437"/>
    </row>
    <row r="438" spans="1:8" ht="14.25" customHeight="1" x14ac:dyDescent="0.3">
      <c r="A438"/>
      <c r="B438"/>
      <c r="C438"/>
      <c r="D438"/>
      <c r="E438"/>
      <c r="F438"/>
      <c r="G438"/>
      <c r="H438"/>
    </row>
    <row r="439" spans="1:8" ht="14.25" customHeight="1" x14ac:dyDescent="0.3">
      <c r="A439"/>
      <c r="B439"/>
      <c r="C439"/>
      <c r="D439"/>
      <c r="E439"/>
      <c r="F439"/>
      <c r="G439"/>
      <c r="H439"/>
    </row>
    <row r="440" spans="1:8" ht="14.25" customHeight="1" x14ac:dyDescent="0.3">
      <c r="A440"/>
      <c r="B440"/>
      <c r="C440"/>
      <c r="D440"/>
      <c r="E440"/>
      <c r="F440"/>
      <c r="G440"/>
      <c r="H440"/>
    </row>
    <row r="441" spans="1:8" ht="14.25" customHeight="1" x14ac:dyDescent="0.3">
      <c r="A441"/>
      <c r="B441"/>
      <c r="C441"/>
      <c r="D441"/>
      <c r="E441"/>
      <c r="F441"/>
      <c r="G441"/>
      <c r="H441"/>
    </row>
    <row r="442" spans="1:8" ht="14.25" customHeight="1" x14ac:dyDescent="0.3">
      <c r="A442"/>
      <c r="B442"/>
      <c r="C442"/>
      <c r="D442"/>
      <c r="E442"/>
      <c r="F442"/>
      <c r="G442"/>
      <c r="H442"/>
    </row>
    <row r="443" spans="1:8" ht="14.25" customHeight="1" x14ac:dyDescent="0.3">
      <c r="A443"/>
      <c r="B443"/>
      <c r="C443"/>
      <c r="D443"/>
      <c r="E443"/>
      <c r="F443"/>
      <c r="G443"/>
      <c r="H443"/>
    </row>
    <row r="444" spans="1:8" ht="14.25" customHeight="1" x14ac:dyDescent="0.3">
      <c r="A444"/>
      <c r="B444"/>
      <c r="C444"/>
      <c r="D444"/>
      <c r="E444"/>
      <c r="F444"/>
      <c r="G444"/>
      <c r="H444"/>
    </row>
    <row r="445" spans="1:8" ht="14.25" customHeight="1" x14ac:dyDescent="0.3">
      <c r="A445"/>
      <c r="B445"/>
      <c r="C445"/>
      <c r="D445"/>
      <c r="E445"/>
      <c r="F445"/>
      <c r="G445"/>
      <c r="H445"/>
    </row>
    <row r="446" spans="1:8" ht="14.25" customHeight="1" x14ac:dyDescent="0.3">
      <c r="A446"/>
      <c r="B446"/>
      <c r="C446"/>
      <c r="D446"/>
      <c r="E446"/>
      <c r="F446"/>
      <c r="G446"/>
      <c r="H446"/>
    </row>
    <row r="447" spans="1:8" ht="14.25" customHeight="1" x14ac:dyDescent="0.3">
      <c r="A447"/>
      <c r="B447"/>
      <c r="C447"/>
      <c r="D447"/>
      <c r="E447"/>
      <c r="F447"/>
      <c r="G447"/>
      <c r="H447"/>
    </row>
    <row r="448" spans="1:8" ht="14.25" customHeight="1" x14ac:dyDescent="0.3">
      <c r="A448"/>
      <c r="B448"/>
      <c r="C448"/>
      <c r="D448"/>
      <c r="E448"/>
      <c r="F448"/>
      <c r="G448"/>
      <c r="H448"/>
    </row>
    <row r="449" spans="1:8" ht="14.25" customHeight="1" x14ac:dyDescent="0.3">
      <c r="A449"/>
      <c r="B449"/>
      <c r="C449"/>
      <c r="D449"/>
      <c r="E449"/>
      <c r="F449"/>
      <c r="G449"/>
      <c r="H449"/>
    </row>
    <row r="450" spans="1:8" ht="14.25" customHeight="1" x14ac:dyDescent="0.3">
      <c r="A450"/>
      <c r="B450"/>
      <c r="C450"/>
      <c r="D450"/>
      <c r="E450"/>
      <c r="F450"/>
      <c r="G450"/>
      <c r="H450"/>
    </row>
    <row r="451" spans="1:8" ht="14.25" customHeight="1" x14ac:dyDescent="0.3">
      <c r="A451"/>
      <c r="B451"/>
      <c r="C451"/>
      <c r="D451"/>
      <c r="E451"/>
      <c r="F451"/>
      <c r="G451"/>
      <c r="H451"/>
    </row>
    <row r="452" spans="1:8" ht="14.25" customHeight="1" x14ac:dyDescent="0.3">
      <c r="A452"/>
      <c r="B452"/>
      <c r="C452"/>
      <c r="D452"/>
      <c r="E452"/>
      <c r="F452"/>
      <c r="G452"/>
      <c r="H452"/>
    </row>
    <row r="453" spans="1:8" ht="14.25" customHeight="1" x14ac:dyDescent="0.3">
      <c r="A453"/>
      <c r="B453"/>
      <c r="C453"/>
      <c r="D453"/>
      <c r="E453"/>
      <c r="F453"/>
      <c r="G453"/>
      <c r="H453"/>
    </row>
    <row r="454" spans="1:8" ht="14.25" customHeight="1" x14ac:dyDescent="0.3">
      <c r="A454"/>
      <c r="B454"/>
      <c r="C454"/>
      <c r="D454"/>
      <c r="E454"/>
      <c r="F454"/>
      <c r="G454"/>
      <c r="H454"/>
    </row>
    <row r="455" spans="1:8" ht="14.25" customHeight="1" x14ac:dyDescent="0.3">
      <c r="A455"/>
      <c r="B455"/>
      <c r="C455"/>
      <c r="D455"/>
      <c r="E455"/>
      <c r="F455"/>
      <c r="G455"/>
      <c r="H455"/>
    </row>
    <row r="456" spans="1:8" ht="14.25" customHeight="1" x14ac:dyDescent="0.3">
      <c r="A456"/>
      <c r="B456"/>
      <c r="C456"/>
      <c r="D456"/>
      <c r="E456"/>
      <c r="F456"/>
      <c r="G456"/>
      <c r="H456"/>
    </row>
    <row r="457" spans="1:8" ht="14.25" customHeight="1" x14ac:dyDescent="0.3">
      <c r="A457"/>
      <c r="B457"/>
      <c r="C457"/>
      <c r="D457"/>
      <c r="E457"/>
      <c r="F457"/>
      <c r="G457"/>
      <c r="H457"/>
    </row>
    <row r="458" spans="1:8" ht="14.25" customHeight="1" x14ac:dyDescent="0.3">
      <c r="A458"/>
      <c r="B458"/>
      <c r="C458"/>
      <c r="D458"/>
      <c r="E458"/>
      <c r="F458"/>
      <c r="G458"/>
      <c r="H458"/>
    </row>
    <row r="459" spans="1:8" ht="14.25" customHeight="1" x14ac:dyDescent="0.3">
      <c r="A459"/>
      <c r="B459"/>
      <c r="C459"/>
      <c r="D459"/>
      <c r="E459"/>
      <c r="F459"/>
      <c r="G459"/>
      <c r="H459"/>
    </row>
    <row r="460" spans="1:8" ht="14.25" customHeight="1" x14ac:dyDescent="0.3">
      <c r="A460"/>
      <c r="B460"/>
      <c r="C460"/>
      <c r="D460"/>
      <c r="E460"/>
      <c r="F460"/>
      <c r="G460"/>
      <c r="H460"/>
    </row>
    <row r="461" spans="1:8" ht="14.25" customHeight="1" x14ac:dyDescent="0.3">
      <c r="A461"/>
      <c r="B461"/>
      <c r="C461"/>
      <c r="D461"/>
      <c r="E461"/>
      <c r="F461"/>
      <c r="G461"/>
      <c r="H461"/>
    </row>
    <row r="462" spans="1:8" ht="14.25" customHeight="1" x14ac:dyDescent="0.3">
      <c r="A462"/>
      <c r="B462"/>
      <c r="C462"/>
      <c r="D462"/>
      <c r="E462"/>
      <c r="F462"/>
      <c r="G462"/>
      <c r="H462"/>
    </row>
    <row r="463" spans="1:8" ht="14.25" customHeight="1" x14ac:dyDescent="0.3">
      <c r="A463"/>
      <c r="B463"/>
      <c r="C463"/>
      <c r="D463"/>
      <c r="E463"/>
      <c r="F463"/>
      <c r="G463"/>
      <c r="H463"/>
    </row>
    <row r="464" spans="1:8" ht="14.25" customHeight="1" x14ac:dyDescent="0.3">
      <c r="A464"/>
      <c r="B464"/>
      <c r="C464"/>
      <c r="D464"/>
      <c r="E464"/>
      <c r="F464"/>
      <c r="G464"/>
      <c r="H464"/>
    </row>
    <row r="465" spans="1:8" ht="14.25" customHeight="1" x14ac:dyDescent="0.3">
      <c r="A465"/>
      <c r="B465"/>
      <c r="C465"/>
      <c r="D465"/>
      <c r="E465"/>
      <c r="F465"/>
      <c r="G465"/>
      <c r="H465"/>
    </row>
    <row r="466" spans="1:8" ht="14.25" customHeight="1" x14ac:dyDescent="0.3">
      <c r="A466"/>
      <c r="B466"/>
      <c r="C466"/>
      <c r="D466"/>
      <c r="E466"/>
      <c r="F466"/>
      <c r="G466"/>
      <c r="H466"/>
    </row>
    <row r="467" spans="1:8" ht="14.25" customHeight="1" x14ac:dyDescent="0.3">
      <c r="A467"/>
      <c r="B467"/>
      <c r="C467"/>
      <c r="D467"/>
      <c r="E467"/>
      <c r="F467"/>
      <c r="G467"/>
      <c r="H467"/>
    </row>
    <row r="468" spans="1:8" ht="14.25" customHeight="1" x14ac:dyDescent="0.3">
      <c r="A468"/>
      <c r="B468"/>
      <c r="C468"/>
      <c r="D468"/>
      <c r="E468"/>
      <c r="F468"/>
      <c r="G468"/>
      <c r="H468"/>
    </row>
    <row r="469" spans="1:8" ht="14.25" customHeight="1" x14ac:dyDescent="0.3">
      <c r="A469"/>
      <c r="B469"/>
      <c r="C469"/>
      <c r="D469"/>
      <c r="E469"/>
      <c r="F469"/>
      <c r="G469"/>
      <c r="H469"/>
    </row>
    <row r="470" spans="1:8" ht="14.25" customHeight="1" x14ac:dyDescent="0.3">
      <c r="A470"/>
      <c r="B470"/>
      <c r="C470"/>
      <c r="D470"/>
      <c r="E470"/>
      <c r="F470"/>
      <c r="G470"/>
      <c r="H470"/>
    </row>
    <row r="471" spans="1:8" ht="14.25" customHeight="1" x14ac:dyDescent="0.3">
      <c r="A471"/>
      <c r="B471"/>
      <c r="C471"/>
      <c r="D471"/>
      <c r="E471"/>
      <c r="F471"/>
      <c r="G471"/>
      <c r="H471"/>
    </row>
    <row r="472" spans="1:8" ht="14.25" customHeight="1" x14ac:dyDescent="0.3">
      <c r="A472"/>
      <c r="B472"/>
      <c r="C472"/>
      <c r="D472"/>
      <c r="E472"/>
      <c r="F472"/>
      <c r="G472"/>
      <c r="H472"/>
    </row>
    <row r="473" spans="1:8" ht="14.25" customHeight="1" x14ac:dyDescent="0.3">
      <c r="A473"/>
      <c r="B473"/>
      <c r="C473"/>
      <c r="D473"/>
      <c r="E473"/>
      <c r="F473"/>
      <c r="G473"/>
      <c r="H473"/>
    </row>
    <row r="474" spans="1:8" ht="14.25" customHeight="1" x14ac:dyDescent="0.3">
      <c r="A474"/>
      <c r="B474"/>
      <c r="C474"/>
      <c r="D474"/>
      <c r="E474"/>
      <c r="F474"/>
      <c r="G474"/>
      <c r="H474"/>
    </row>
    <row r="475" spans="1:8" ht="14.25" customHeight="1" x14ac:dyDescent="0.3">
      <c r="A475"/>
      <c r="B475"/>
      <c r="C475"/>
      <c r="D475"/>
      <c r="E475"/>
      <c r="F475"/>
      <c r="G475"/>
      <c r="H475"/>
    </row>
    <row r="476" spans="1:8" ht="14.25" customHeight="1" x14ac:dyDescent="0.3">
      <c r="A476"/>
      <c r="B476"/>
      <c r="C476"/>
      <c r="D476"/>
      <c r="E476"/>
      <c r="F476"/>
      <c r="G476"/>
      <c r="H476"/>
    </row>
    <row r="477" spans="1:8" ht="14.25" customHeight="1" x14ac:dyDescent="0.3">
      <c r="A477"/>
      <c r="B477"/>
      <c r="C477"/>
      <c r="D477"/>
      <c r="E477"/>
      <c r="F477"/>
      <c r="G477"/>
      <c r="H477"/>
    </row>
    <row r="478" spans="1:8" ht="14.25" customHeight="1" x14ac:dyDescent="0.3">
      <c r="A478"/>
      <c r="B478"/>
      <c r="C478"/>
      <c r="D478"/>
      <c r="E478"/>
      <c r="F478"/>
      <c r="G478"/>
      <c r="H478"/>
    </row>
    <row r="479" spans="1:8" ht="14.25" customHeight="1" x14ac:dyDescent="0.3">
      <c r="A479"/>
      <c r="B479"/>
      <c r="C479"/>
      <c r="D479"/>
      <c r="E479"/>
      <c r="F479"/>
      <c r="G479"/>
      <c r="H479"/>
    </row>
    <row r="480" spans="1:8" ht="14.25" customHeight="1" x14ac:dyDescent="0.3">
      <c r="A480"/>
      <c r="B480"/>
      <c r="C480"/>
      <c r="D480"/>
      <c r="E480"/>
      <c r="F480"/>
      <c r="G480"/>
      <c r="H480"/>
    </row>
    <row r="481" spans="1:8" ht="14.25" customHeight="1" x14ac:dyDescent="0.3">
      <c r="A481"/>
      <c r="B481"/>
      <c r="C481"/>
      <c r="D481"/>
      <c r="E481"/>
      <c r="F481"/>
      <c r="G481"/>
      <c r="H481"/>
    </row>
    <row r="482" spans="1:8" ht="14.25" customHeight="1" x14ac:dyDescent="0.3">
      <c r="A482"/>
      <c r="B482"/>
      <c r="C482"/>
      <c r="D482"/>
      <c r="E482"/>
      <c r="F482"/>
      <c r="G482"/>
      <c r="H482"/>
    </row>
    <row r="483" spans="1:8" ht="14.25" customHeight="1" x14ac:dyDescent="0.3">
      <c r="A483"/>
      <c r="B483"/>
      <c r="C483"/>
      <c r="D483"/>
      <c r="E483"/>
      <c r="F483"/>
      <c r="G483"/>
      <c r="H483"/>
    </row>
    <row r="484" spans="1:8" ht="14.25" customHeight="1" x14ac:dyDescent="0.3">
      <c r="A484"/>
      <c r="B484"/>
      <c r="C484"/>
      <c r="D484"/>
      <c r="E484"/>
      <c r="F484"/>
      <c r="G484"/>
      <c r="H484"/>
    </row>
    <row r="485" spans="1:8" ht="14.25" customHeight="1" x14ac:dyDescent="0.3">
      <c r="A485"/>
      <c r="B485"/>
      <c r="C485"/>
      <c r="D485"/>
      <c r="E485"/>
      <c r="F485"/>
      <c r="G485"/>
      <c r="H485"/>
    </row>
    <row r="486" spans="1:8" ht="14.25" customHeight="1" x14ac:dyDescent="0.3">
      <c r="A486"/>
      <c r="B486"/>
      <c r="C486"/>
      <c r="D486"/>
      <c r="E486"/>
      <c r="F486"/>
      <c r="G486"/>
      <c r="H486"/>
    </row>
    <row r="487" spans="1:8" ht="14.25" customHeight="1" x14ac:dyDescent="0.3">
      <c r="A487"/>
      <c r="B487"/>
      <c r="C487"/>
      <c r="D487"/>
      <c r="E487"/>
      <c r="F487"/>
      <c r="G487"/>
      <c r="H487"/>
    </row>
    <row r="488" spans="1:8" ht="14.25" customHeight="1" x14ac:dyDescent="0.3">
      <c r="A488"/>
      <c r="B488"/>
      <c r="C488"/>
      <c r="D488"/>
      <c r="E488"/>
      <c r="F488"/>
      <c r="G488"/>
      <c r="H488"/>
    </row>
    <row r="489" spans="1:8" ht="14.25" customHeight="1" x14ac:dyDescent="0.3">
      <c r="A489"/>
      <c r="B489"/>
      <c r="C489"/>
      <c r="D489"/>
      <c r="E489"/>
      <c r="F489"/>
      <c r="G489"/>
      <c r="H489"/>
    </row>
    <row r="490" spans="1:8" ht="14.25" customHeight="1" x14ac:dyDescent="0.3">
      <c r="A490"/>
      <c r="B490"/>
      <c r="C490"/>
      <c r="D490"/>
      <c r="E490"/>
      <c r="F490"/>
      <c r="G490"/>
      <c r="H490"/>
    </row>
    <row r="491" spans="1:8" ht="14.25" customHeight="1" x14ac:dyDescent="0.3">
      <c r="A491"/>
      <c r="B491"/>
      <c r="C491"/>
      <c r="D491"/>
      <c r="E491"/>
      <c r="F491"/>
      <c r="G491"/>
      <c r="H491"/>
    </row>
    <row r="492" spans="1:8" ht="14.25" customHeight="1" x14ac:dyDescent="0.3">
      <c r="A492"/>
      <c r="B492"/>
      <c r="C492"/>
      <c r="D492"/>
      <c r="E492"/>
      <c r="F492"/>
      <c r="G492"/>
      <c r="H492"/>
    </row>
    <row r="493" spans="1:8" ht="14.25" customHeight="1" x14ac:dyDescent="0.3">
      <c r="A493"/>
      <c r="B493"/>
      <c r="C493"/>
      <c r="D493"/>
      <c r="E493"/>
      <c r="F493"/>
      <c r="G493"/>
      <c r="H493"/>
    </row>
    <row r="494" spans="1:8" ht="14.25" customHeight="1" x14ac:dyDescent="0.3">
      <c r="A494"/>
      <c r="B494"/>
      <c r="C494"/>
      <c r="D494"/>
      <c r="E494"/>
      <c r="F494"/>
      <c r="G494"/>
      <c r="H494"/>
    </row>
    <row r="495" spans="1:8" ht="14.25" customHeight="1" x14ac:dyDescent="0.3">
      <c r="A495"/>
      <c r="B495"/>
      <c r="C495"/>
      <c r="D495"/>
      <c r="E495"/>
      <c r="F495"/>
      <c r="G495"/>
      <c r="H495"/>
    </row>
    <row r="496" spans="1:8" ht="14.25" customHeight="1" x14ac:dyDescent="0.3">
      <c r="A496"/>
      <c r="B496"/>
      <c r="C496"/>
      <c r="D496"/>
      <c r="E496"/>
      <c r="F496"/>
      <c r="G496"/>
      <c r="H496"/>
    </row>
    <row r="497" spans="1:8" ht="14.25" customHeight="1" x14ac:dyDescent="0.3">
      <c r="A497"/>
      <c r="B497"/>
      <c r="C497"/>
      <c r="D497"/>
      <c r="E497"/>
      <c r="F497"/>
      <c r="G497"/>
      <c r="H497"/>
    </row>
    <row r="498" spans="1:8" ht="14.25" customHeight="1" x14ac:dyDescent="0.3">
      <c r="A498"/>
      <c r="B498"/>
      <c r="C498"/>
      <c r="D498"/>
      <c r="E498"/>
      <c r="F498"/>
      <c r="G498"/>
      <c r="H498"/>
    </row>
    <row r="499" spans="1:8" ht="14.25" customHeight="1" x14ac:dyDescent="0.3">
      <c r="A499"/>
      <c r="B499"/>
      <c r="C499"/>
      <c r="D499"/>
      <c r="E499"/>
      <c r="F499"/>
      <c r="G499"/>
      <c r="H499"/>
    </row>
    <row r="500" spans="1:8" ht="14.25" customHeight="1" x14ac:dyDescent="0.3">
      <c r="A500"/>
      <c r="B500"/>
      <c r="C500"/>
      <c r="D500"/>
      <c r="E500"/>
      <c r="F500"/>
      <c r="G500"/>
      <c r="H500"/>
    </row>
    <row r="501" spans="1:8" ht="14.25" customHeight="1" x14ac:dyDescent="0.3">
      <c r="A501"/>
      <c r="B501"/>
      <c r="C501"/>
      <c r="D501"/>
      <c r="E501"/>
      <c r="F501"/>
      <c r="G501"/>
      <c r="H501"/>
    </row>
    <row r="502" spans="1:8" ht="14.25" customHeight="1" x14ac:dyDescent="0.3">
      <c r="A502"/>
      <c r="B502"/>
      <c r="C502"/>
      <c r="D502"/>
      <c r="E502"/>
      <c r="F502"/>
      <c r="G502"/>
      <c r="H502"/>
    </row>
    <row r="503" spans="1:8" ht="14.25" customHeight="1" x14ac:dyDescent="0.3">
      <c r="A503"/>
      <c r="B503"/>
      <c r="C503"/>
      <c r="D503"/>
      <c r="E503"/>
      <c r="F503"/>
      <c r="G503"/>
      <c r="H503"/>
    </row>
    <row r="504" spans="1:8" ht="14.25" customHeight="1" x14ac:dyDescent="0.3">
      <c r="A504"/>
      <c r="B504"/>
      <c r="C504"/>
      <c r="D504"/>
      <c r="E504"/>
      <c r="F504"/>
      <c r="G504"/>
      <c r="H504"/>
    </row>
    <row r="505" spans="1:8" ht="14.25" customHeight="1" x14ac:dyDescent="0.3">
      <c r="A505"/>
      <c r="B505"/>
      <c r="C505"/>
      <c r="D505"/>
      <c r="E505"/>
      <c r="F505"/>
      <c r="G505"/>
      <c r="H505"/>
    </row>
    <row r="506" spans="1:8" ht="14.25" customHeight="1" x14ac:dyDescent="0.3">
      <c r="A506"/>
      <c r="B506"/>
      <c r="C506"/>
      <c r="D506"/>
      <c r="E506"/>
      <c r="F506"/>
      <c r="G506"/>
      <c r="H506"/>
    </row>
    <row r="507" spans="1:8" ht="14.25" customHeight="1" x14ac:dyDescent="0.3">
      <c r="A507"/>
      <c r="B507"/>
      <c r="C507"/>
      <c r="D507"/>
      <c r="E507"/>
      <c r="F507"/>
      <c r="G507"/>
      <c r="H507"/>
    </row>
    <row r="508" spans="1:8" ht="14.25" customHeight="1" x14ac:dyDescent="0.3">
      <c r="A508"/>
      <c r="B508"/>
      <c r="C508"/>
      <c r="D508"/>
      <c r="E508"/>
      <c r="F508"/>
      <c r="G508"/>
      <c r="H508"/>
    </row>
    <row r="509" spans="1:8" ht="14.25" customHeight="1" x14ac:dyDescent="0.3">
      <c r="A509"/>
      <c r="B509"/>
      <c r="C509"/>
      <c r="D509"/>
      <c r="E509"/>
      <c r="F509"/>
      <c r="G509"/>
      <c r="H509"/>
    </row>
    <row r="510" spans="1:8" ht="14.25" customHeight="1" x14ac:dyDescent="0.3">
      <c r="A510"/>
      <c r="B510"/>
      <c r="C510"/>
      <c r="D510"/>
      <c r="E510"/>
      <c r="F510"/>
      <c r="G510"/>
      <c r="H510"/>
    </row>
    <row r="511" spans="1:8" ht="14.25" customHeight="1" x14ac:dyDescent="0.3">
      <c r="A511"/>
      <c r="B511"/>
      <c r="C511"/>
      <c r="D511"/>
      <c r="E511"/>
      <c r="F511"/>
      <c r="G511"/>
      <c r="H511"/>
    </row>
    <row r="512" spans="1:8" ht="14.25" customHeight="1" x14ac:dyDescent="0.3">
      <c r="A512"/>
      <c r="B512"/>
      <c r="C512"/>
      <c r="D512"/>
      <c r="E512"/>
      <c r="F512"/>
      <c r="G512"/>
      <c r="H512"/>
    </row>
    <row r="513" spans="1:8" ht="14.25" customHeight="1" x14ac:dyDescent="0.3">
      <c r="A513"/>
      <c r="B513"/>
      <c r="C513"/>
      <c r="D513"/>
      <c r="E513"/>
      <c r="F513"/>
      <c r="G513"/>
      <c r="H513"/>
    </row>
    <row r="514" spans="1:8" ht="14.25" customHeight="1" x14ac:dyDescent="0.3">
      <c r="A514"/>
      <c r="B514"/>
      <c r="C514"/>
      <c r="D514"/>
      <c r="E514"/>
      <c r="F514"/>
      <c r="G514"/>
      <c r="H514"/>
    </row>
    <row r="515" spans="1:8" ht="14.25" customHeight="1" x14ac:dyDescent="0.3">
      <c r="A515"/>
      <c r="B515"/>
      <c r="C515"/>
      <c r="D515"/>
      <c r="E515"/>
      <c r="F515"/>
      <c r="G515"/>
      <c r="H515"/>
    </row>
    <row r="516" spans="1:8" ht="14.25" customHeight="1" x14ac:dyDescent="0.3">
      <c r="A516"/>
      <c r="B516"/>
      <c r="C516"/>
      <c r="D516"/>
      <c r="E516"/>
      <c r="F516"/>
      <c r="G516"/>
      <c r="H516"/>
    </row>
    <row r="517" spans="1:8" ht="14.25" customHeight="1" x14ac:dyDescent="0.3">
      <c r="A517"/>
      <c r="B517"/>
      <c r="C517"/>
      <c r="D517"/>
      <c r="E517"/>
      <c r="F517"/>
      <c r="G517"/>
      <c r="H517"/>
    </row>
    <row r="518" spans="1:8" ht="14.25" customHeight="1" x14ac:dyDescent="0.3">
      <c r="A518"/>
      <c r="B518"/>
      <c r="C518"/>
      <c r="D518"/>
      <c r="E518"/>
      <c r="F518"/>
      <c r="G518"/>
      <c r="H518"/>
    </row>
    <row r="519" spans="1:8" ht="14.25" customHeight="1" x14ac:dyDescent="0.3">
      <c r="A519"/>
      <c r="B519"/>
      <c r="C519"/>
      <c r="D519"/>
      <c r="E519"/>
      <c r="F519"/>
      <c r="G519"/>
      <c r="H519"/>
    </row>
    <row r="520" spans="1:8" ht="14.25" customHeight="1" x14ac:dyDescent="0.3">
      <c r="A520"/>
      <c r="B520"/>
      <c r="C520"/>
      <c r="D520"/>
      <c r="E520"/>
      <c r="F520"/>
      <c r="G520"/>
      <c r="H520"/>
    </row>
    <row r="521" spans="1:8" ht="14.25" customHeight="1" x14ac:dyDescent="0.3">
      <c r="A521"/>
      <c r="B521"/>
      <c r="C521"/>
      <c r="D521"/>
      <c r="E521"/>
      <c r="F521"/>
      <c r="G521"/>
      <c r="H521"/>
    </row>
    <row r="522" spans="1:8" ht="14.25" customHeight="1" x14ac:dyDescent="0.3">
      <c r="A522"/>
      <c r="B522"/>
      <c r="C522"/>
      <c r="D522"/>
      <c r="E522"/>
      <c r="F522"/>
      <c r="G522"/>
      <c r="H522"/>
    </row>
    <row r="523" spans="1:8" ht="14.25" customHeight="1" x14ac:dyDescent="0.3">
      <c r="A523"/>
      <c r="B523"/>
      <c r="C523"/>
      <c r="D523"/>
      <c r="E523"/>
      <c r="F523"/>
      <c r="G523"/>
      <c r="H523"/>
    </row>
    <row r="524" spans="1:8" ht="14.25" customHeight="1" x14ac:dyDescent="0.3">
      <c r="A524"/>
      <c r="B524"/>
      <c r="C524"/>
      <c r="D524"/>
      <c r="E524"/>
      <c r="F524"/>
      <c r="G524"/>
      <c r="H524"/>
    </row>
    <row r="525" spans="1:8" ht="14.25" customHeight="1" x14ac:dyDescent="0.3">
      <c r="A525"/>
      <c r="B525"/>
      <c r="C525"/>
      <c r="D525"/>
      <c r="E525"/>
      <c r="F525"/>
      <c r="G525"/>
      <c r="H525"/>
    </row>
    <row r="526" spans="1:8" ht="14.25" customHeight="1" x14ac:dyDescent="0.3">
      <c r="A526"/>
      <c r="B526"/>
      <c r="C526"/>
      <c r="D526"/>
      <c r="E526"/>
      <c r="F526"/>
      <c r="G526"/>
      <c r="H526"/>
    </row>
    <row r="527" spans="1:8" ht="14.25" customHeight="1" x14ac:dyDescent="0.3">
      <c r="A527"/>
      <c r="B527"/>
      <c r="C527"/>
      <c r="D527"/>
      <c r="E527"/>
      <c r="F527"/>
      <c r="G527"/>
      <c r="H527"/>
    </row>
    <row r="528" spans="1:8" ht="14.25" customHeight="1" x14ac:dyDescent="0.3">
      <c r="A528"/>
      <c r="B528"/>
      <c r="C528"/>
      <c r="D528"/>
      <c r="E528"/>
      <c r="F528"/>
      <c r="G528"/>
      <c r="H528"/>
    </row>
    <row r="529" spans="1:8" ht="14.25" customHeight="1" x14ac:dyDescent="0.3">
      <c r="A529"/>
      <c r="B529"/>
      <c r="C529"/>
      <c r="D529"/>
      <c r="E529"/>
      <c r="F529"/>
      <c r="G529"/>
      <c r="H529"/>
    </row>
    <row r="530" spans="1:8" ht="14.25" customHeight="1" x14ac:dyDescent="0.3">
      <c r="A530"/>
      <c r="B530"/>
      <c r="C530"/>
      <c r="D530"/>
      <c r="E530"/>
      <c r="F530"/>
      <c r="G530"/>
      <c r="H530"/>
    </row>
    <row r="531" spans="1:8" ht="14.25" customHeight="1" x14ac:dyDescent="0.3">
      <c r="A531"/>
      <c r="B531"/>
      <c r="C531"/>
      <c r="D531"/>
      <c r="E531"/>
      <c r="F531"/>
      <c r="G531"/>
      <c r="H531"/>
    </row>
    <row r="532" spans="1:8" ht="14.25" customHeight="1" x14ac:dyDescent="0.3">
      <c r="A532"/>
      <c r="B532"/>
      <c r="C532"/>
      <c r="D532"/>
      <c r="E532"/>
      <c r="F532"/>
      <c r="G532"/>
      <c r="H532"/>
    </row>
    <row r="533" spans="1:8" ht="14.25" customHeight="1" x14ac:dyDescent="0.3">
      <c r="A533"/>
      <c r="B533"/>
      <c r="C533"/>
      <c r="D533"/>
      <c r="E533"/>
      <c r="F533"/>
      <c r="G533"/>
      <c r="H533"/>
    </row>
    <row r="534" spans="1:8" ht="14.25" customHeight="1" x14ac:dyDescent="0.3">
      <c r="A534"/>
      <c r="B534"/>
      <c r="C534"/>
      <c r="D534"/>
      <c r="E534"/>
      <c r="F534"/>
      <c r="G534"/>
      <c r="H534"/>
    </row>
    <row r="535" spans="1:8" ht="14.25" customHeight="1" x14ac:dyDescent="0.3">
      <c r="A535"/>
      <c r="B535"/>
      <c r="C535"/>
      <c r="D535"/>
      <c r="E535"/>
      <c r="F535"/>
      <c r="G535"/>
      <c r="H535"/>
    </row>
    <row r="536" spans="1:8" ht="14.25" customHeight="1" x14ac:dyDescent="0.3">
      <c r="A536"/>
      <c r="B536"/>
      <c r="C536"/>
      <c r="D536"/>
      <c r="E536"/>
      <c r="F536"/>
      <c r="G536"/>
      <c r="H536"/>
    </row>
    <row r="537" spans="1:8" ht="14.25" customHeight="1" x14ac:dyDescent="0.3">
      <c r="A537"/>
      <c r="B537"/>
      <c r="C537"/>
      <c r="D537"/>
      <c r="E537"/>
      <c r="F537"/>
      <c r="G537"/>
      <c r="H537"/>
    </row>
    <row r="538" spans="1:8" ht="14.25" customHeight="1" x14ac:dyDescent="0.3">
      <c r="A538"/>
      <c r="B538"/>
      <c r="C538"/>
      <c r="D538"/>
      <c r="E538"/>
      <c r="F538"/>
      <c r="G538"/>
      <c r="H538"/>
    </row>
    <row r="539" spans="1:8" ht="14.25" customHeight="1" x14ac:dyDescent="0.3">
      <c r="A539"/>
      <c r="B539"/>
      <c r="C539"/>
      <c r="D539"/>
      <c r="E539"/>
      <c r="F539"/>
      <c r="G539"/>
      <c r="H539"/>
    </row>
    <row r="540" spans="1:8" ht="14.25" customHeight="1" x14ac:dyDescent="0.3">
      <c r="A540"/>
      <c r="B540"/>
      <c r="C540"/>
      <c r="D540"/>
      <c r="E540"/>
      <c r="F540"/>
      <c r="G540"/>
      <c r="H540"/>
    </row>
    <row r="541" spans="1:8" ht="14.25" customHeight="1" x14ac:dyDescent="0.3">
      <c r="A541"/>
      <c r="B541"/>
      <c r="C541"/>
      <c r="D541"/>
      <c r="E541"/>
      <c r="F541"/>
      <c r="G541"/>
      <c r="H541"/>
    </row>
    <row r="542" spans="1:8" ht="14.25" customHeight="1" x14ac:dyDescent="0.3">
      <c r="A542"/>
      <c r="B542"/>
      <c r="C542"/>
      <c r="D542"/>
      <c r="E542"/>
      <c r="F542"/>
      <c r="G542"/>
      <c r="H542"/>
    </row>
    <row r="543" spans="1:8" ht="14.25" customHeight="1" x14ac:dyDescent="0.3">
      <c r="A543"/>
      <c r="B543"/>
      <c r="C543"/>
      <c r="D543"/>
      <c r="E543"/>
      <c r="F543"/>
      <c r="G543"/>
      <c r="H543"/>
    </row>
    <row r="544" spans="1:8" ht="14.25" customHeight="1" x14ac:dyDescent="0.3">
      <c r="A544"/>
      <c r="B544"/>
      <c r="C544"/>
      <c r="D544"/>
      <c r="E544"/>
      <c r="F544"/>
      <c r="G544"/>
      <c r="H544"/>
    </row>
    <row r="545" spans="1:8" ht="14.25" customHeight="1" x14ac:dyDescent="0.3">
      <c r="A545"/>
      <c r="B545"/>
      <c r="C545"/>
      <c r="D545"/>
      <c r="E545"/>
      <c r="F545"/>
      <c r="G545"/>
      <c r="H545"/>
    </row>
    <row r="546" spans="1:8" ht="14.25" customHeight="1" x14ac:dyDescent="0.3">
      <c r="A546"/>
      <c r="B546"/>
      <c r="C546"/>
      <c r="D546"/>
      <c r="E546"/>
      <c r="F546"/>
      <c r="G546"/>
      <c r="H546"/>
    </row>
    <row r="547" spans="1:8" ht="14.25" customHeight="1" x14ac:dyDescent="0.3">
      <c r="A547"/>
      <c r="B547"/>
      <c r="C547"/>
      <c r="D547"/>
      <c r="E547"/>
      <c r="F547"/>
      <c r="G547"/>
      <c r="H547"/>
    </row>
    <row r="548" spans="1:8" ht="14.25" customHeight="1" x14ac:dyDescent="0.3">
      <c r="A548"/>
      <c r="B548"/>
      <c r="C548"/>
      <c r="D548"/>
      <c r="E548"/>
      <c r="F548"/>
      <c r="G548"/>
      <c r="H548"/>
    </row>
    <row r="549" spans="1:8" ht="14.25" customHeight="1" x14ac:dyDescent="0.3">
      <c r="A549"/>
      <c r="B549"/>
      <c r="C549"/>
      <c r="D549"/>
      <c r="E549"/>
      <c r="F549"/>
      <c r="G549"/>
      <c r="H549"/>
    </row>
    <row r="550" spans="1:8" ht="14.25" customHeight="1" x14ac:dyDescent="0.3">
      <c r="A550"/>
      <c r="B550"/>
      <c r="C550"/>
      <c r="D550"/>
      <c r="E550"/>
      <c r="F550"/>
      <c r="G550"/>
      <c r="H550"/>
    </row>
    <row r="551" spans="1:8" ht="14.25" customHeight="1" x14ac:dyDescent="0.3">
      <c r="A551"/>
      <c r="B551"/>
      <c r="C551"/>
      <c r="D551"/>
      <c r="E551"/>
      <c r="F551"/>
      <c r="G551"/>
      <c r="H551"/>
    </row>
    <row r="552" spans="1:8" ht="14.25" customHeight="1" x14ac:dyDescent="0.3">
      <c r="A552"/>
      <c r="B552"/>
      <c r="C552"/>
      <c r="D552"/>
      <c r="E552"/>
      <c r="F552"/>
      <c r="G552"/>
      <c r="H552"/>
    </row>
    <row r="553" spans="1:8" ht="14.25" customHeight="1" x14ac:dyDescent="0.3">
      <c r="A553"/>
      <c r="B553"/>
      <c r="C553"/>
      <c r="D553"/>
      <c r="E553"/>
      <c r="F553"/>
      <c r="G553"/>
      <c r="H553"/>
    </row>
    <row r="554" spans="1:8" ht="14.25" customHeight="1" x14ac:dyDescent="0.3">
      <c r="A554"/>
      <c r="B554"/>
      <c r="C554"/>
      <c r="D554"/>
      <c r="E554"/>
      <c r="F554"/>
      <c r="G554"/>
      <c r="H554"/>
    </row>
    <row r="555" spans="1:8" ht="14.25" customHeight="1" x14ac:dyDescent="0.3">
      <c r="A555"/>
      <c r="B555"/>
      <c r="C555"/>
      <c r="D555"/>
      <c r="E555"/>
      <c r="F555"/>
      <c r="G555"/>
      <c r="H555"/>
    </row>
    <row r="556" spans="1:8" ht="14.25" customHeight="1" x14ac:dyDescent="0.3">
      <c r="A556"/>
      <c r="B556"/>
      <c r="C556"/>
      <c r="D556"/>
      <c r="E556"/>
      <c r="F556"/>
      <c r="G556"/>
      <c r="H556"/>
    </row>
    <row r="557" spans="1:8" ht="14.25" customHeight="1" x14ac:dyDescent="0.3">
      <c r="A557"/>
      <c r="B557"/>
      <c r="C557"/>
      <c r="D557"/>
      <c r="E557"/>
      <c r="F557"/>
      <c r="G557"/>
      <c r="H557"/>
    </row>
    <row r="558" spans="1:8" ht="14.25" customHeight="1" x14ac:dyDescent="0.3">
      <c r="A558"/>
      <c r="B558"/>
      <c r="C558"/>
      <c r="D558"/>
      <c r="E558"/>
      <c r="F558"/>
      <c r="G558"/>
      <c r="H558"/>
    </row>
    <row r="559" spans="1:8" ht="14.25" customHeight="1" x14ac:dyDescent="0.3">
      <c r="A559"/>
      <c r="B559"/>
      <c r="C559"/>
      <c r="D559"/>
      <c r="E559"/>
      <c r="F559"/>
      <c r="G559"/>
      <c r="H559"/>
    </row>
    <row r="560" spans="1:8" ht="14.25" customHeight="1" x14ac:dyDescent="0.3">
      <c r="A560"/>
      <c r="B560"/>
      <c r="C560"/>
      <c r="D560"/>
      <c r="E560"/>
      <c r="F560"/>
      <c r="G560"/>
      <c r="H560"/>
    </row>
    <row r="561" spans="1:8" ht="14.25" customHeight="1" x14ac:dyDescent="0.3">
      <c r="A561"/>
      <c r="B561"/>
      <c r="C561"/>
      <c r="D561"/>
      <c r="E561"/>
      <c r="F561"/>
      <c r="G561"/>
      <c r="H561"/>
    </row>
    <row r="562" spans="1:8" ht="14.25" customHeight="1" x14ac:dyDescent="0.3">
      <c r="A562"/>
      <c r="B562"/>
      <c r="C562"/>
      <c r="D562"/>
      <c r="E562"/>
      <c r="F562"/>
      <c r="G562"/>
      <c r="H562"/>
    </row>
    <row r="563" spans="1:8" ht="14.25" customHeight="1" x14ac:dyDescent="0.3">
      <c r="A563"/>
      <c r="B563"/>
      <c r="C563"/>
      <c r="D563"/>
      <c r="E563"/>
      <c r="F563"/>
      <c r="G563"/>
      <c r="H563"/>
    </row>
    <row r="564" spans="1:8" ht="14.25" customHeight="1" x14ac:dyDescent="0.3">
      <c r="A564"/>
      <c r="B564"/>
      <c r="C564"/>
      <c r="D564"/>
      <c r="E564"/>
      <c r="F564"/>
      <c r="G564"/>
      <c r="H564"/>
    </row>
    <row r="565" spans="1:8" ht="14.25" customHeight="1" x14ac:dyDescent="0.3">
      <c r="A565"/>
      <c r="B565"/>
      <c r="C565"/>
      <c r="D565"/>
      <c r="E565"/>
      <c r="F565"/>
      <c r="G565"/>
      <c r="H565"/>
    </row>
    <row r="566" spans="1:8" ht="14.25" customHeight="1" x14ac:dyDescent="0.3">
      <c r="A566"/>
      <c r="B566"/>
      <c r="C566"/>
      <c r="D566"/>
      <c r="E566"/>
      <c r="F566"/>
      <c r="G566"/>
      <c r="H566"/>
    </row>
    <row r="567" spans="1:8" ht="14.25" customHeight="1" x14ac:dyDescent="0.3">
      <c r="A567"/>
      <c r="B567"/>
      <c r="C567"/>
      <c r="D567"/>
      <c r="E567"/>
      <c r="F567"/>
      <c r="G567"/>
      <c r="H567"/>
    </row>
    <row r="568" spans="1:8" ht="14.25" customHeight="1" x14ac:dyDescent="0.3">
      <c r="A568"/>
      <c r="B568"/>
      <c r="C568"/>
      <c r="D568"/>
      <c r="E568"/>
      <c r="F568"/>
      <c r="G568"/>
      <c r="H568"/>
    </row>
    <row r="569" spans="1:8" ht="14.25" customHeight="1" x14ac:dyDescent="0.3">
      <c r="A569"/>
      <c r="B569"/>
      <c r="C569"/>
      <c r="D569"/>
      <c r="E569"/>
      <c r="F569"/>
      <c r="G569"/>
      <c r="H569"/>
    </row>
    <row r="570" spans="1:8" ht="14.25" customHeight="1" x14ac:dyDescent="0.3">
      <c r="A570"/>
      <c r="B570"/>
      <c r="C570"/>
      <c r="D570"/>
      <c r="E570"/>
      <c r="F570"/>
      <c r="G570"/>
      <c r="H570"/>
    </row>
    <row r="571" spans="1:8" ht="14.25" customHeight="1" x14ac:dyDescent="0.3">
      <c r="A571"/>
      <c r="B571"/>
      <c r="C571"/>
      <c r="D571"/>
      <c r="E571"/>
      <c r="F571"/>
      <c r="G571"/>
      <c r="H571"/>
    </row>
    <row r="572" spans="1:8" ht="14.25" customHeight="1" x14ac:dyDescent="0.3">
      <c r="A572"/>
      <c r="B572"/>
      <c r="C572"/>
      <c r="D572"/>
      <c r="E572"/>
      <c r="F572"/>
      <c r="G572"/>
      <c r="H572"/>
    </row>
    <row r="573" spans="1:8" ht="14.25" customHeight="1" x14ac:dyDescent="0.3">
      <c r="A573"/>
      <c r="B573"/>
      <c r="C573"/>
      <c r="D573"/>
      <c r="E573"/>
      <c r="F573"/>
      <c r="G573"/>
      <c r="H573"/>
    </row>
    <row r="574" spans="1:8" ht="14.25" customHeight="1" x14ac:dyDescent="0.3">
      <c r="A574"/>
      <c r="B574"/>
      <c r="C574"/>
      <c r="D574"/>
      <c r="E574"/>
      <c r="F574"/>
      <c r="G574"/>
      <c r="H574"/>
    </row>
    <row r="575" spans="1:8" ht="14.25" customHeight="1" x14ac:dyDescent="0.3">
      <c r="A575"/>
      <c r="B575"/>
      <c r="C575"/>
      <c r="D575"/>
      <c r="E575"/>
      <c r="F575"/>
      <c r="G575"/>
      <c r="H575"/>
    </row>
    <row r="576" spans="1:8" ht="14.25" customHeight="1" x14ac:dyDescent="0.3">
      <c r="A576"/>
      <c r="B576"/>
      <c r="C576"/>
      <c r="D576"/>
      <c r="E576"/>
      <c r="F576"/>
      <c r="G576"/>
      <c r="H576"/>
    </row>
    <row r="577" spans="1:8" ht="14.25" customHeight="1" x14ac:dyDescent="0.3">
      <c r="A577"/>
      <c r="B577"/>
      <c r="C577"/>
      <c r="D577"/>
      <c r="E577"/>
      <c r="F577"/>
      <c r="G577"/>
      <c r="H577"/>
    </row>
    <row r="578" spans="1:8" ht="14.25" customHeight="1" x14ac:dyDescent="0.3">
      <c r="A578"/>
      <c r="B578"/>
      <c r="C578"/>
      <c r="D578"/>
      <c r="E578"/>
      <c r="F578"/>
      <c r="G578"/>
      <c r="H578"/>
    </row>
    <row r="579" spans="1:8" ht="14.25" customHeight="1" x14ac:dyDescent="0.3">
      <c r="A579"/>
      <c r="B579"/>
      <c r="C579"/>
      <c r="D579"/>
      <c r="E579"/>
      <c r="F579"/>
      <c r="G579"/>
      <c r="H579"/>
    </row>
    <row r="580" spans="1:8" ht="14.25" customHeight="1" x14ac:dyDescent="0.3">
      <c r="A580"/>
      <c r="B580"/>
      <c r="C580"/>
      <c r="D580"/>
      <c r="E580"/>
      <c r="F580"/>
      <c r="G580"/>
      <c r="H580"/>
    </row>
    <row r="581" spans="1:8" ht="14.25" customHeight="1" x14ac:dyDescent="0.3">
      <c r="A581"/>
      <c r="B581"/>
      <c r="C581"/>
      <c r="D581"/>
      <c r="E581"/>
      <c r="F581"/>
      <c r="G581"/>
      <c r="H581"/>
    </row>
    <row r="582" spans="1:8" ht="14.25" customHeight="1" x14ac:dyDescent="0.3">
      <c r="A582"/>
      <c r="B582"/>
      <c r="C582"/>
      <c r="D582"/>
      <c r="E582"/>
      <c r="F582"/>
      <c r="G582"/>
      <c r="H582"/>
    </row>
    <row r="583" spans="1:8" ht="14.25" customHeight="1" x14ac:dyDescent="0.3">
      <c r="A583"/>
      <c r="B583"/>
      <c r="C583"/>
      <c r="D583"/>
      <c r="E583"/>
      <c r="F583"/>
      <c r="G583"/>
      <c r="H583"/>
    </row>
    <row r="584" spans="1:8" ht="14.25" customHeight="1" x14ac:dyDescent="0.3">
      <c r="A584"/>
      <c r="B584"/>
      <c r="C584"/>
      <c r="D584"/>
      <c r="E584"/>
      <c r="F584"/>
      <c r="G584"/>
      <c r="H584"/>
    </row>
    <row r="585" spans="1:8" ht="14.25" customHeight="1" x14ac:dyDescent="0.3">
      <c r="A585"/>
      <c r="B585"/>
      <c r="C585"/>
      <c r="D585"/>
      <c r="E585"/>
      <c r="F585"/>
      <c r="G585"/>
      <c r="H585"/>
    </row>
    <row r="586" spans="1:8" ht="14.25" customHeight="1" x14ac:dyDescent="0.3">
      <c r="A586"/>
      <c r="B586"/>
      <c r="C586"/>
      <c r="D586"/>
      <c r="E586"/>
      <c r="F586"/>
      <c r="G586"/>
      <c r="H586"/>
    </row>
    <row r="587" spans="1:8" ht="14.25" customHeight="1" x14ac:dyDescent="0.3">
      <c r="A587"/>
      <c r="B587"/>
      <c r="C587"/>
      <c r="D587"/>
      <c r="E587"/>
      <c r="F587"/>
      <c r="G587"/>
      <c r="H587"/>
    </row>
    <row r="588" spans="1:8" ht="14.25" customHeight="1" x14ac:dyDescent="0.3">
      <c r="A588"/>
      <c r="B588"/>
      <c r="C588"/>
      <c r="D588"/>
      <c r="E588"/>
      <c r="F588"/>
      <c r="G588"/>
      <c r="H588"/>
    </row>
    <row r="589" spans="1:8" ht="14.25" customHeight="1" x14ac:dyDescent="0.3">
      <c r="A589"/>
      <c r="B589"/>
      <c r="C589"/>
      <c r="D589"/>
      <c r="E589"/>
      <c r="F589"/>
      <c r="G589"/>
      <c r="H589"/>
    </row>
    <row r="590" spans="1:8" ht="14.25" customHeight="1" x14ac:dyDescent="0.3">
      <c r="A590"/>
      <c r="B590"/>
      <c r="C590"/>
      <c r="D590"/>
      <c r="E590"/>
      <c r="F590"/>
      <c r="G590"/>
      <c r="H590"/>
    </row>
    <row r="591" spans="1:8" ht="14.25" customHeight="1" x14ac:dyDescent="0.3">
      <c r="A591"/>
      <c r="B591"/>
      <c r="C591"/>
      <c r="D591"/>
      <c r="E591"/>
      <c r="F591"/>
      <c r="G591"/>
      <c r="H591"/>
    </row>
    <row r="592" spans="1:8" ht="14.25" customHeight="1" x14ac:dyDescent="0.3">
      <c r="A592"/>
      <c r="B592"/>
      <c r="C592"/>
      <c r="D592"/>
      <c r="E592"/>
      <c r="F592"/>
      <c r="G592"/>
      <c r="H592"/>
    </row>
    <row r="593" spans="1:8" ht="14.25" customHeight="1" x14ac:dyDescent="0.3">
      <c r="A593"/>
      <c r="B593"/>
      <c r="C593"/>
      <c r="D593"/>
      <c r="E593"/>
      <c r="F593"/>
      <c r="G593"/>
      <c r="H593"/>
    </row>
    <row r="594" spans="1:8" ht="14.25" customHeight="1" x14ac:dyDescent="0.3">
      <c r="A594"/>
      <c r="B594"/>
      <c r="C594"/>
      <c r="D594"/>
      <c r="E594"/>
      <c r="F594"/>
      <c r="G594"/>
      <c r="H594"/>
    </row>
    <row r="595" spans="1:8" ht="14.25" customHeight="1" x14ac:dyDescent="0.3">
      <c r="A595"/>
      <c r="B595"/>
      <c r="C595"/>
      <c r="D595"/>
      <c r="E595"/>
      <c r="F595"/>
      <c r="G595"/>
      <c r="H595"/>
    </row>
    <row r="596" spans="1:8" ht="14.25" customHeight="1" x14ac:dyDescent="0.3">
      <c r="A596"/>
      <c r="B596"/>
      <c r="C596"/>
      <c r="D596"/>
      <c r="E596"/>
      <c r="F596"/>
      <c r="G596"/>
      <c r="H596"/>
    </row>
    <row r="597" spans="1:8" ht="14.25" customHeight="1" x14ac:dyDescent="0.3">
      <c r="A597"/>
      <c r="B597"/>
      <c r="C597"/>
      <c r="D597"/>
      <c r="E597"/>
      <c r="F597"/>
      <c r="G597"/>
      <c r="H597"/>
    </row>
    <row r="598" spans="1:8" ht="14.25" customHeight="1" x14ac:dyDescent="0.3">
      <c r="A598"/>
      <c r="B598"/>
      <c r="C598"/>
      <c r="D598"/>
      <c r="E598"/>
      <c r="F598"/>
      <c r="G598"/>
      <c r="H598"/>
    </row>
    <row r="599" spans="1:8" ht="14.25" customHeight="1" x14ac:dyDescent="0.3">
      <c r="A599"/>
      <c r="B599"/>
      <c r="C599"/>
      <c r="D599"/>
      <c r="E599"/>
      <c r="F599"/>
      <c r="G599"/>
      <c r="H599"/>
    </row>
    <row r="600" spans="1:8" ht="14.25" customHeight="1" x14ac:dyDescent="0.3">
      <c r="A600"/>
      <c r="B600"/>
      <c r="C600"/>
      <c r="D600"/>
      <c r="E600"/>
      <c r="F600"/>
      <c r="G600"/>
      <c r="H600"/>
    </row>
    <row r="601" spans="1:8" ht="14.25" customHeight="1" x14ac:dyDescent="0.3">
      <c r="A601"/>
      <c r="B601"/>
      <c r="C601"/>
      <c r="D601"/>
      <c r="E601"/>
      <c r="F601"/>
      <c r="G601"/>
      <c r="H601"/>
    </row>
    <row r="602" spans="1:8" ht="14.25" customHeight="1" x14ac:dyDescent="0.3">
      <c r="A602"/>
      <c r="B602"/>
      <c r="C602"/>
      <c r="D602"/>
      <c r="E602"/>
      <c r="F602"/>
      <c r="G602"/>
      <c r="H602"/>
    </row>
    <row r="603" spans="1:8" ht="14.25" customHeight="1" x14ac:dyDescent="0.3">
      <c r="A603"/>
      <c r="B603"/>
      <c r="C603"/>
      <c r="D603"/>
      <c r="E603"/>
      <c r="F603"/>
      <c r="G603"/>
      <c r="H603"/>
    </row>
    <row r="604" spans="1:8" ht="14.25" customHeight="1" x14ac:dyDescent="0.3">
      <c r="A604"/>
      <c r="B604"/>
      <c r="C604"/>
      <c r="D604"/>
      <c r="E604"/>
      <c r="F604"/>
      <c r="G604"/>
      <c r="H604"/>
    </row>
    <row r="605" spans="1:8" ht="14.25" customHeight="1" x14ac:dyDescent="0.3">
      <c r="A605"/>
      <c r="B605"/>
      <c r="C605"/>
      <c r="D605"/>
      <c r="E605"/>
      <c r="F605"/>
      <c r="G605"/>
      <c r="H605"/>
    </row>
    <row r="606" spans="1:8" ht="14.25" customHeight="1" x14ac:dyDescent="0.3">
      <c r="A606"/>
      <c r="B606"/>
      <c r="C606"/>
      <c r="D606"/>
      <c r="E606"/>
      <c r="F606"/>
      <c r="G606"/>
      <c r="H606"/>
    </row>
    <row r="607" spans="1:8" ht="14.25" customHeight="1" x14ac:dyDescent="0.3">
      <c r="A607"/>
      <c r="B607"/>
      <c r="C607"/>
      <c r="D607"/>
      <c r="E607"/>
      <c r="F607"/>
      <c r="G607"/>
      <c r="H607"/>
    </row>
    <row r="608" spans="1:8" ht="14.25" customHeight="1" x14ac:dyDescent="0.3">
      <c r="A608"/>
      <c r="B608"/>
      <c r="C608"/>
      <c r="D608"/>
      <c r="E608"/>
      <c r="F608"/>
      <c r="G608"/>
      <c r="H608"/>
    </row>
    <row r="609" spans="1:8" ht="14.25" customHeight="1" x14ac:dyDescent="0.3">
      <c r="A609"/>
      <c r="B609"/>
      <c r="C609"/>
      <c r="D609"/>
      <c r="E609"/>
      <c r="F609"/>
      <c r="G609"/>
      <c r="H609"/>
    </row>
    <row r="610" spans="1:8" ht="14.25" customHeight="1" x14ac:dyDescent="0.3">
      <c r="A610"/>
      <c r="B610"/>
      <c r="C610"/>
      <c r="D610"/>
      <c r="E610"/>
      <c r="F610"/>
      <c r="G610"/>
      <c r="H610"/>
    </row>
    <row r="611" spans="1:8" ht="14.25" customHeight="1" x14ac:dyDescent="0.3">
      <c r="A611"/>
      <c r="B611"/>
      <c r="C611"/>
      <c r="D611"/>
      <c r="E611"/>
      <c r="F611"/>
      <c r="G611"/>
      <c r="H611"/>
    </row>
    <row r="612" spans="1:8" ht="14.25" customHeight="1" x14ac:dyDescent="0.3">
      <c r="A612"/>
      <c r="B612"/>
      <c r="C612"/>
      <c r="D612"/>
      <c r="E612"/>
      <c r="F612"/>
      <c r="G612"/>
      <c r="H612"/>
    </row>
    <row r="613" spans="1:8" ht="14.25" customHeight="1" x14ac:dyDescent="0.3">
      <c r="A613"/>
      <c r="B613"/>
      <c r="C613"/>
      <c r="D613"/>
      <c r="E613"/>
      <c r="F613"/>
      <c r="G613"/>
      <c r="H613"/>
    </row>
    <row r="614" spans="1:8" ht="14.25" customHeight="1" x14ac:dyDescent="0.3">
      <c r="A614"/>
      <c r="B614"/>
      <c r="C614"/>
      <c r="D614"/>
      <c r="E614"/>
      <c r="F614"/>
      <c r="G614"/>
      <c r="H614"/>
    </row>
    <row r="615" spans="1:8" ht="14.25" customHeight="1" x14ac:dyDescent="0.3">
      <c r="A615"/>
      <c r="B615"/>
      <c r="C615"/>
      <c r="D615"/>
      <c r="E615"/>
      <c r="F615"/>
      <c r="G615"/>
      <c r="H615"/>
    </row>
    <row r="616" spans="1:8" ht="14.25" customHeight="1" x14ac:dyDescent="0.3">
      <c r="A616"/>
      <c r="B616"/>
      <c r="C616"/>
      <c r="D616"/>
      <c r="E616"/>
      <c r="F616"/>
      <c r="G616"/>
      <c r="H616"/>
    </row>
    <row r="617" spans="1:8" ht="14.25" customHeight="1" x14ac:dyDescent="0.3">
      <c r="A617"/>
      <c r="B617"/>
      <c r="C617"/>
      <c r="D617"/>
      <c r="E617"/>
      <c r="F617"/>
      <c r="G617"/>
      <c r="H617"/>
    </row>
    <row r="618" spans="1:8" ht="14.25" customHeight="1" x14ac:dyDescent="0.3">
      <c r="A618"/>
      <c r="B618"/>
      <c r="C618"/>
      <c r="D618"/>
      <c r="E618"/>
      <c r="F618"/>
      <c r="G618"/>
      <c r="H618"/>
    </row>
    <row r="619" spans="1:8" ht="14.25" customHeight="1" x14ac:dyDescent="0.3">
      <c r="A619"/>
      <c r="B619"/>
      <c r="C619"/>
      <c r="D619"/>
      <c r="E619"/>
      <c r="F619"/>
      <c r="G619"/>
      <c r="H619"/>
    </row>
    <row r="620" spans="1:8" ht="14.25" customHeight="1" x14ac:dyDescent="0.3">
      <c r="A620"/>
      <c r="B620"/>
      <c r="C620"/>
      <c r="D620"/>
      <c r="E620"/>
      <c r="F620"/>
      <c r="G620"/>
      <c r="H620"/>
    </row>
    <row r="621" spans="1:8" ht="14.25" customHeight="1" x14ac:dyDescent="0.3">
      <c r="A621"/>
      <c r="B621"/>
      <c r="C621"/>
      <c r="D621"/>
      <c r="E621"/>
      <c r="F621"/>
      <c r="G621"/>
      <c r="H621"/>
    </row>
    <row r="622" spans="1:8" ht="14.25" customHeight="1" x14ac:dyDescent="0.3">
      <c r="A622"/>
      <c r="B622"/>
      <c r="C622"/>
      <c r="D622"/>
      <c r="E622"/>
      <c r="F622"/>
      <c r="G622"/>
      <c r="H622"/>
    </row>
    <row r="623" spans="1:8" ht="14.25" customHeight="1" x14ac:dyDescent="0.3">
      <c r="A623"/>
      <c r="B623"/>
      <c r="C623"/>
      <c r="D623"/>
      <c r="E623"/>
      <c r="F623"/>
      <c r="G623"/>
      <c r="H623"/>
    </row>
    <row r="624" spans="1:8" ht="14.25" customHeight="1" x14ac:dyDescent="0.3">
      <c r="A624"/>
      <c r="B624"/>
      <c r="C624"/>
      <c r="D624"/>
      <c r="E624"/>
      <c r="F624"/>
      <c r="G624"/>
      <c r="H624"/>
    </row>
    <row r="625" spans="1:8" ht="14.25" customHeight="1" x14ac:dyDescent="0.3">
      <c r="A625"/>
      <c r="B625"/>
      <c r="C625"/>
      <c r="D625"/>
      <c r="E625"/>
      <c r="F625"/>
      <c r="G625"/>
      <c r="H625"/>
    </row>
    <row r="626" spans="1:8" ht="14.25" customHeight="1" x14ac:dyDescent="0.3">
      <c r="A626"/>
      <c r="B626"/>
      <c r="C626"/>
      <c r="D626"/>
      <c r="E626"/>
      <c r="F626"/>
      <c r="G626"/>
      <c r="H626"/>
    </row>
    <row r="627" spans="1:8" ht="14.25" customHeight="1" x14ac:dyDescent="0.3">
      <c r="A627"/>
      <c r="B627"/>
      <c r="C627"/>
      <c r="D627"/>
      <c r="E627"/>
      <c r="F627"/>
      <c r="G627"/>
      <c r="H627"/>
    </row>
    <row r="628" spans="1:8" ht="14.25" customHeight="1" x14ac:dyDescent="0.3">
      <c r="A628"/>
      <c r="B628"/>
      <c r="C628"/>
      <c r="D628"/>
      <c r="E628"/>
      <c r="F628"/>
      <c r="G628"/>
      <c r="H628"/>
    </row>
    <row r="629" spans="1:8" ht="14.25" customHeight="1" x14ac:dyDescent="0.3">
      <c r="A629"/>
      <c r="B629"/>
      <c r="C629"/>
      <c r="D629"/>
      <c r="E629"/>
      <c r="F629"/>
      <c r="G629"/>
      <c r="H629"/>
    </row>
    <row r="630" spans="1:8" ht="14.25" customHeight="1" x14ac:dyDescent="0.3">
      <c r="A630"/>
      <c r="B630"/>
      <c r="C630"/>
      <c r="D630"/>
      <c r="E630"/>
      <c r="F630"/>
      <c r="G630"/>
      <c r="H630"/>
    </row>
    <row r="631" spans="1:8" ht="14.25" customHeight="1" x14ac:dyDescent="0.3">
      <c r="A631"/>
      <c r="B631"/>
      <c r="C631"/>
      <c r="D631"/>
      <c r="E631"/>
      <c r="F631"/>
      <c r="G631"/>
      <c r="H631"/>
    </row>
    <row r="632" spans="1:8" ht="14.25" customHeight="1" x14ac:dyDescent="0.3">
      <c r="A632"/>
      <c r="B632"/>
      <c r="C632"/>
      <c r="D632"/>
      <c r="E632"/>
      <c r="F632"/>
      <c r="G632"/>
      <c r="H632"/>
    </row>
    <row r="633" spans="1:8" ht="14.25" customHeight="1" x14ac:dyDescent="0.3">
      <c r="A633"/>
      <c r="B633"/>
      <c r="C633"/>
      <c r="D633"/>
      <c r="E633"/>
      <c r="F633"/>
      <c r="G633"/>
      <c r="H633"/>
    </row>
    <row r="634" spans="1:8" ht="14.25" customHeight="1" x14ac:dyDescent="0.3">
      <c r="A634"/>
      <c r="B634"/>
      <c r="C634"/>
      <c r="D634"/>
      <c r="E634"/>
      <c r="F634"/>
      <c r="G634"/>
      <c r="H634"/>
    </row>
    <row r="635" spans="1:8" ht="14.25" customHeight="1" x14ac:dyDescent="0.3">
      <c r="A635"/>
      <c r="B635"/>
      <c r="C635"/>
      <c r="D635"/>
      <c r="E635"/>
      <c r="F635"/>
      <c r="G635"/>
      <c r="H635"/>
    </row>
    <row r="636" spans="1:8" ht="14.25" customHeight="1" x14ac:dyDescent="0.3">
      <c r="A636"/>
      <c r="B636"/>
      <c r="C636"/>
      <c r="D636"/>
      <c r="E636"/>
      <c r="F636"/>
      <c r="G636"/>
      <c r="H636"/>
    </row>
    <row r="637" spans="1:8" ht="14.25" customHeight="1" x14ac:dyDescent="0.3">
      <c r="A637"/>
      <c r="B637"/>
      <c r="C637"/>
      <c r="D637"/>
      <c r="E637"/>
      <c r="F637"/>
      <c r="G637"/>
      <c r="H637"/>
    </row>
    <row r="638" spans="1:8" ht="14.25" customHeight="1" x14ac:dyDescent="0.3">
      <c r="A638"/>
      <c r="B638"/>
      <c r="C638"/>
      <c r="D638"/>
      <c r="E638"/>
      <c r="F638"/>
      <c r="G638"/>
      <c r="H638"/>
    </row>
    <row r="639" spans="1:8" ht="14.25" customHeight="1" x14ac:dyDescent="0.3">
      <c r="A639"/>
      <c r="B639"/>
      <c r="C639"/>
      <c r="D639"/>
      <c r="E639"/>
      <c r="F639"/>
      <c r="G639"/>
      <c r="H639"/>
    </row>
    <row r="640" spans="1:8" ht="14.25" customHeight="1" x14ac:dyDescent="0.3">
      <c r="A640"/>
      <c r="B640"/>
      <c r="C640"/>
      <c r="D640"/>
      <c r="E640"/>
      <c r="F640"/>
      <c r="G640"/>
      <c r="H640"/>
    </row>
    <row r="641" spans="1:8" ht="14.25" customHeight="1" x14ac:dyDescent="0.3">
      <c r="A641"/>
      <c r="B641"/>
      <c r="C641"/>
      <c r="D641"/>
      <c r="E641"/>
      <c r="F641"/>
      <c r="G641"/>
      <c r="H641"/>
    </row>
    <row r="642" spans="1:8" ht="14.25" customHeight="1" x14ac:dyDescent="0.3">
      <c r="A642"/>
      <c r="B642"/>
      <c r="C642"/>
      <c r="D642"/>
      <c r="E642"/>
      <c r="F642"/>
      <c r="G642"/>
      <c r="H642"/>
    </row>
    <row r="643" spans="1:8" ht="14.25" customHeight="1" x14ac:dyDescent="0.3">
      <c r="A643"/>
      <c r="B643"/>
      <c r="C643"/>
      <c r="D643"/>
      <c r="E643"/>
      <c r="F643"/>
      <c r="G643"/>
      <c r="H643"/>
    </row>
    <row r="644" spans="1:8" ht="14.25" customHeight="1" x14ac:dyDescent="0.3">
      <c r="A644"/>
      <c r="B644"/>
      <c r="C644"/>
      <c r="D644"/>
      <c r="E644"/>
      <c r="F644"/>
      <c r="G644"/>
      <c r="H644"/>
    </row>
    <row r="645" spans="1:8" ht="14.25" customHeight="1" x14ac:dyDescent="0.3">
      <c r="A645"/>
      <c r="B645"/>
      <c r="C645"/>
      <c r="D645"/>
      <c r="E645"/>
      <c r="F645"/>
      <c r="G645"/>
      <c r="H645"/>
    </row>
    <row r="646" spans="1:8" ht="14.25" customHeight="1" x14ac:dyDescent="0.3">
      <c r="A646"/>
      <c r="B646"/>
      <c r="C646"/>
      <c r="D646"/>
      <c r="E646"/>
      <c r="F646"/>
      <c r="G646"/>
      <c r="H646"/>
    </row>
    <row r="647" spans="1:8" ht="14.25" customHeight="1" x14ac:dyDescent="0.3">
      <c r="A647"/>
      <c r="B647"/>
      <c r="C647"/>
      <c r="D647"/>
      <c r="E647"/>
      <c r="F647"/>
      <c r="G647"/>
      <c r="H647"/>
    </row>
    <row r="648" spans="1:8" ht="14.25" customHeight="1" x14ac:dyDescent="0.3">
      <c r="A648"/>
      <c r="B648"/>
      <c r="C648"/>
      <c r="D648"/>
      <c r="E648"/>
      <c r="F648"/>
      <c r="G648"/>
      <c r="H648"/>
    </row>
    <row r="649" spans="1:8" ht="14.25" customHeight="1" x14ac:dyDescent="0.3">
      <c r="A649"/>
      <c r="B649"/>
      <c r="C649"/>
      <c r="D649"/>
      <c r="E649"/>
      <c r="F649"/>
      <c r="G649"/>
      <c r="H649"/>
    </row>
    <row r="650" spans="1:8" ht="14.25" customHeight="1" x14ac:dyDescent="0.3">
      <c r="A650"/>
      <c r="B650"/>
      <c r="C650"/>
      <c r="D650"/>
      <c r="E650"/>
      <c r="F650"/>
      <c r="G650"/>
      <c r="H650"/>
    </row>
    <row r="651" spans="1:8" ht="14.25" customHeight="1" x14ac:dyDescent="0.3">
      <c r="A651"/>
      <c r="B651"/>
      <c r="C651"/>
      <c r="D651"/>
      <c r="E651"/>
      <c r="F651"/>
      <c r="G651"/>
      <c r="H651"/>
    </row>
    <row r="652" spans="1:8" ht="14.25" customHeight="1" x14ac:dyDescent="0.3">
      <c r="A652"/>
      <c r="B652"/>
      <c r="C652"/>
      <c r="D652"/>
      <c r="E652"/>
      <c r="F652"/>
      <c r="G652"/>
      <c r="H652"/>
    </row>
    <row r="653" spans="1:8" ht="14.25" customHeight="1" x14ac:dyDescent="0.3">
      <c r="A653"/>
      <c r="B653"/>
      <c r="C653"/>
      <c r="D653"/>
      <c r="E653"/>
      <c r="F653"/>
      <c r="G653"/>
      <c r="H653"/>
    </row>
    <row r="654" spans="1:8" ht="14.25" customHeight="1" x14ac:dyDescent="0.3">
      <c r="A654"/>
      <c r="B654"/>
      <c r="C654"/>
      <c r="D654"/>
      <c r="E654"/>
      <c r="F654"/>
      <c r="G654"/>
      <c r="H654"/>
    </row>
    <row r="655" spans="1:8" ht="14.25" customHeight="1" x14ac:dyDescent="0.3">
      <c r="A655"/>
      <c r="B655"/>
      <c r="C655"/>
      <c r="D655"/>
      <c r="E655"/>
      <c r="F655"/>
      <c r="G655"/>
      <c r="H655"/>
    </row>
    <row r="656" spans="1:8" ht="14.25" customHeight="1" x14ac:dyDescent="0.3">
      <c r="A656"/>
      <c r="B656"/>
      <c r="C656"/>
      <c r="D656"/>
      <c r="E656"/>
      <c r="F656"/>
      <c r="G656"/>
      <c r="H656"/>
    </row>
    <row r="657" spans="1:8" ht="14.25" customHeight="1" x14ac:dyDescent="0.3">
      <c r="A657"/>
      <c r="B657"/>
      <c r="C657"/>
      <c r="D657"/>
      <c r="E657"/>
      <c r="F657"/>
      <c r="G657"/>
      <c r="H657"/>
    </row>
    <row r="658" spans="1:8" ht="14.25" customHeight="1" x14ac:dyDescent="0.3">
      <c r="A658"/>
      <c r="B658"/>
      <c r="C658"/>
      <c r="D658"/>
      <c r="E658"/>
      <c r="F658"/>
      <c r="G658"/>
      <c r="H658"/>
    </row>
    <row r="659" spans="1:8" ht="14.25" customHeight="1" x14ac:dyDescent="0.3">
      <c r="A659"/>
      <c r="B659"/>
      <c r="C659"/>
      <c r="D659"/>
      <c r="E659"/>
      <c r="F659"/>
      <c r="G659"/>
      <c r="H659"/>
    </row>
    <row r="660" spans="1:8" ht="14.25" customHeight="1" x14ac:dyDescent="0.3">
      <c r="A660"/>
      <c r="B660"/>
      <c r="C660"/>
      <c r="D660"/>
      <c r="E660"/>
      <c r="F660"/>
      <c r="G660"/>
      <c r="H660"/>
    </row>
    <row r="661" spans="1:8" ht="14.25" customHeight="1" x14ac:dyDescent="0.3">
      <c r="A661"/>
      <c r="B661"/>
      <c r="C661"/>
      <c r="D661"/>
      <c r="E661"/>
      <c r="F661"/>
      <c r="G661"/>
      <c r="H661"/>
    </row>
    <row r="662" spans="1:8" ht="14.25" customHeight="1" x14ac:dyDescent="0.3">
      <c r="A662"/>
      <c r="B662"/>
      <c r="C662"/>
      <c r="D662"/>
      <c r="E662"/>
      <c r="F662"/>
      <c r="G662"/>
      <c r="H662"/>
    </row>
    <row r="663" spans="1:8" ht="14.25" customHeight="1" x14ac:dyDescent="0.3">
      <c r="A663"/>
      <c r="B663"/>
      <c r="C663"/>
      <c r="D663"/>
      <c r="E663"/>
      <c r="F663"/>
      <c r="G663"/>
      <c r="H663"/>
    </row>
    <row r="664" spans="1:8" ht="14.25" customHeight="1" x14ac:dyDescent="0.3">
      <c r="A664"/>
      <c r="B664"/>
      <c r="C664"/>
      <c r="D664"/>
      <c r="E664"/>
      <c r="F664"/>
      <c r="G664"/>
      <c r="H664"/>
    </row>
    <row r="665" spans="1:8" ht="14.25" customHeight="1" x14ac:dyDescent="0.3">
      <c r="A665"/>
      <c r="B665"/>
      <c r="C665"/>
      <c r="D665"/>
      <c r="E665"/>
      <c r="F665"/>
      <c r="G665"/>
      <c r="H665"/>
    </row>
    <row r="666" spans="1:8" ht="14.25" customHeight="1" x14ac:dyDescent="0.3">
      <c r="A666"/>
      <c r="B666"/>
      <c r="C666"/>
      <c r="D666"/>
      <c r="E666"/>
      <c r="F666"/>
      <c r="G666"/>
      <c r="H666"/>
    </row>
    <row r="667" spans="1:8" ht="14.25" customHeight="1" x14ac:dyDescent="0.3">
      <c r="A667"/>
      <c r="B667"/>
      <c r="C667"/>
      <c r="D667"/>
      <c r="E667"/>
      <c r="F667"/>
      <c r="G667"/>
      <c r="H667"/>
    </row>
    <row r="668" spans="1:8" ht="14.25" customHeight="1" x14ac:dyDescent="0.3">
      <c r="A668"/>
      <c r="B668"/>
      <c r="C668"/>
      <c r="D668"/>
      <c r="E668"/>
      <c r="F668"/>
      <c r="G668"/>
      <c r="H668"/>
    </row>
    <row r="669" spans="1:8" ht="14.25" customHeight="1" x14ac:dyDescent="0.3">
      <c r="A669"/>
      <c r="B669"/>
      <c r="C669"/>
      <c r="D669"/>
      <c r="E669"/>
      <c r="F669"/>
      <c r="G669"/>
      <c r="H669"/>
    </row>
    <row r="670" spans="1:8" ht="14.25" customHeight="1" x14ac:dyDescent="0.3">
      <c r="A670"/>
      <c r="B670"/>
      <c r="C670"/>
      <c r="D670"/>
      <c r="E670"/>
      <c r="F670"/>
      <c r="G670"/>
      <c r="H670"/>
    </row>
    <row r="671" spans="1:8" ht="14.25" customHeight="1" x14ac:dyDescent="0.3">
      <c r="A671"/>
      <c r="B671"/>
      <c r="C671"/>
      <c r="D671"/>
      <c r="E671"/>
      <c r="F671"/>
      <c r="G671"/>
      <c r="H671"/>
    </row>
    <row r="672" spans="1:8" ht="14.25" customHeight="1" x14ac:dyDescent="0.3">
      <c r="A672"/>
      <c r="B672"/>
      <c r="C672"/>
      <c r="D672"/>
      <c r="E672"/>
      <c r="F672"/>
      <c r="G672"/>
      <c r="H672"/>
    </row>
    <row r="673" spans="1:8" ht="14.25" customHeight="1" x14ac:dyDescent="0.3">
      <c r="A673"/>
      <c r="B673"/>
      <c r="C673"/>
      <c r="D673"/>
      <c r="E673"/>
      <c r="F673"/>
      <c r="G673"/>
      <c r="H673"/>
    </row>
    <row r="674" spans="1:8" ht="14.25" customHeight="1" x14ac:dyDescent="0.3">
      <c r="A674"/>
      <c r="B674"/>
      <c r="C674"/>
      <c r="D674"/>
      <c r="E674"/>
      <c r="F674"/>
      <c r="G674"/>
      <c r="H674"/>
    </row>
    <row r="675" spans="1:8" ht="14.25" customHeight="1" x14ac:dyDescent="0.3">
      <c r="A675"/>
      <c r="B675"/>
      <c r="C675"/>
      <c r="D675"/>
      <c r="E675"/>
      <c r="F675"/>
      <c r="G675"/>
      <c r="H675"/>
    </row>
    <row r="676" spans="1:8" ht="14.25" customHeight="1" x14ac:dyDescent="0.3">
      <c r="A676"/>
      <c r="B676"/>
      <c r="C676"/>
      <c r="D676"/>
      <c r="E676"/>
      <c r="F676"/>
      <c r="G676"/>
      <c r="H676"/>
    </row>
    <row r="677" spans="1:8" ht="14.25" customHeight="1" x14ac:dyDescent="0.3">
      <c r="A677"/>
      <c r="B677"/>
      <c r="C677"/>
      <c r="D677"/>
      <c r="E677"/>
      <c r="F677"/>
      <c r="G677"/>
      <c r="H677"/>
    </row>
    <row r="678" spans="1:8" ht="14.25" customHeight="1" x14ac:dyDescent="0.3">
      <c r="A678"/>
      <c r="B678"/>
      <c r="C678"/>
      <c r="D678"/>
      <c r="E678"/>
      <c r="F678"/>
      <c r="G678"/>
      <c r="H678"/>
    </row>
    <row r="679" spans="1:8" ht="14.25" customHeight="1" x14ac:dyDescent="0.3">
      <c r="A679"/>
      <c r="B679"/>
      <c r="C679"/>
      <c r="D679"/>
      <c r="E679"/>
      <c r="F679"/>
      <c r="G679"/>
      <c r="H679"/>
    </row>
    <row r="680" spans="1:8" ht="14.25" customHeight="1" x14ac:dyDescent="0.3">
      <c r="A680"/>
      <c r="B680"/>
      <c r="C680"/>
      <c r="D680"/>
      <c r="E680"/>
      <c r="F680"/>
      <c r="G680"/>
      <c r="H680"/>
    </row>
    <row r="681" spans="1:8" ht="14.25" customHeight="1" x14ac:dyDescent="0.3">
      <c r="A681"/>
      <c r="B681"/>
      <c r="C681"/>
      <c r="D681"/>
      <c r="E681"/>
      <c r="F681"/>
      <c r="G681"/>
      <c r="H681"/>
    </row>
    <row r="682" spans="1:8" ht="14.25" customHeight="1" x14ac:dyDescent="0.3">
      <c r="A682"/>
      <c r="B682"/>
      <c r="C682"/>
      <c r="D682"/>
      <c r="E682"/>
      <c r="F682"/>
      <c r="G682"/>
      <c r="H682"/>
    </row>
    <row r="683" spans="1:8" ht="14.25" customHeight="1" x14ac:dyDescent="0.3">
      <c r="A683"/>
      <c r="B683"/>
      <c r="C683"/>
      <c r="D683"/>
      <c r="E683"/>
      <c r="F683"/>
      <c r="G683"/>
      <c r="H683"/>
    </row>
    <row r="684" spans="1:8" ht="14.25" customHeight="1" x14ac:dyDescent="0.3">
      <c r="A684"/>
      <c r="B684"/>
      <c r="C684"/>
      <c r="D684"/>
      <c r="E684"/>
      <c r="F684"/>
      <c r="G684"/>
      <c r="H684"/>
    </row>
    <row r="685" spans="1:8" ht="14.25" customHeight="1" x14ac:dyDescent="0.3">
      <c r="A685"/>
      <c r="B685"/>
      <c r="C685"/>
      <c r="D685"/>
      <c r="E685"/>
      <c r="F685"/>
      <c r="G685"/>
      <c r="H685"/>
    </row>
    <row r="686" spans="1:8" ht="14.25" customHeight="1" x14ac:dyDescent="0.3">
      <c r="A686"/>
      <c r="B686"/>
      <c r="C686"/>
      <c r="D686"/>
      <c r="E686"/>
      <c r="F686"/>
      <c r="G686"/>
      <c r="H686"/>
    </row>
    <row r="687" spans="1:8" ht="14.25" customHeight="1" x14ac:dyDescent="0.3">
      <c r="A687"/>
      <c r="B687"/>
      <c r="C687"/>
      <c r="D687"/>
      <c r="E687"/>
      <c r="F687"/>
      <c r="G687"/>
      <c r="H687"/>
    </row>
    <row r="688" spans="1:8" ht="14.25" customHeight="1" x14ac:dyDescent="0.3">
      <c r="A688"/>
      <c r="B688"/>
      <c r="C688"/>
      <c r="D688"/>
      <c r="E688"/>
      <c r="F688"/>
      <c r="G688"/>
      <c r="H688"/>
    </row>
    <row r="689" spans="1:8" ht="14.25" customHeight="1" x14ac:dyDescent="0.3">
      <c r="A689"/>
      <c r="B689"/>
      <c r="C689"/>
      <c r="D689"/>
      <c r="E689"/>
      <c r="F689"/>
      <c r="G689"/>
      <c r="H689"/>
    </row>
    <row r="690" spans="1:8" ht="14.25" customHeight="1" x14ac:dyDescent="0.3">
      <c r="A690"/>
      <c r="B690"/>
      <c r="C690"/>
      <c r="D690"/>
      <c r="E690"/>
      <c r="F690"/>
      <c r="G690"/>
      <c r="H690"/>
    </row>
    <row r="691" spans="1:8" ht="14.25" customHeight="1" x14ac:dyDescent="0.3">
      <c r="A691"/>
      <c r="B691"/>
      <c r="C691"/>
      <c r="D691"/>
      <c r="E691"/>
      <c r="F691"/>
      <c r="G691"/>
      <c r="H691"/>
    </row>
    <row r="692" spans="1:8" ht="14.25" customHeight="1" x14ac:dyDescent="0.3">
      <c r="A692"/>
      <c r="B692"/>
      <c r="C692"/>
      <c r="D692"/>
      <c r="E692"/>
      <c r="F692"/>
      <c r="G692"/>
      <c r="H692"/>
    </row>
    <row r="693" spans="1:8" ht="14.25" customHeight="1" x14ac:dyDescent="0.3">
      <c r="A693"/>
      <c r="B693"/>
      <c r="C693"/>
      <c r="D693"/>
      <c r="E693"/>
      <c r="F693"/>
      <c r="G693"/>
      <c r="H693"/>
    </row>
    <row r="694" spans="1:8" ht="14.25" customHeight="1" x14ac:dyDescent="0.3">
      <c r="A694"/>
      <c r="B694"/>
      <c r="C694"/>
      <c r="D694"/>
      <c r="E694"/>
      <c r="F694"/>
      <c r="G694"/>
      <c r="H694"/>
    </row>
    <row r="695" spans="1:8" ht="14.25" customHeight="1" x14ac:dyDescent="0.3">
      <c r="A695"/>
      <c r="B695"/>
      <c r="C695"/>
      <c r="D695"/>
      <c r="E695"/>
      <c r="F695"/>
      <c r="G695"/>
      <c r="H695"/>
    </row>
    <row r="696" spans="1:8" ht="14.25" customHeight="1" x14ac:dyDescent="0.3">
      <c r="A696"/>
      <c r="B696"/>
      <c r="C696"/>
      <c r="D696"/>
      <c r="E696"/>
      <c r="F696"/>
      <c r="G696"/>
      <c r="H696"/>
    </row>
    <row r="697" spans="1:8" ht="14.25" customHeight="1" x14ac:dyDescent="0.3">
      <c r="A697"/>
      <c r="B697"/>
      <c r="C697"/>
      <c r="D697"/>
      <c r="E697"/>
      <c r="F697"/>
      <c r="G697"/>
      <c r="H697"/>
    </row>
    <row r="698" spans="1:8" ht="14.25" customHeight="1" x14ac:dyDescent="0.3">
      <c r="A698"/>
      <c r="B698"/>
      <c r="C698"/>
      <c r="D698"/>
      <c r="E698"/>
      <c r="F698"/>
      <c r="G698"/>
      <c r="H698"/>
    </row>
    <row r="699" spans="1:8" ht="14.25" customHeight="1" x14ac:dyDescent="0.3">
      <c r="A699"/>
      <c r="B699"/>
      <c r="C699"/>
      <c r="D699"/>
      <c r="E699"/>
      <c r="F699"/>
      <c r="G699"/>
      <c r="H699"/>
    </row>
    <row r="700" spans="1:8" ht="14.25" customHeight="1" x14ac:dyDescent="0.3">
      <c r="A700"/>
      <c r="B700"/>
      <c r="C700"/>
      <c r="D700"/>
      <c r="E700"/>
      <c r="F700"/>
      <c r="G700"/>
      <c r="H700"/>
    </row>
    <row r="701" spans="1:8" ht="14.25" customHeight="1" x14ac:dyDescent="0.3">
      <c r="A701"/>
      <c r="B701"/>
      <c r="C701"/>
      <c r="D701"/>
      <c r="E701"/>
      <c r="F701"/>
      <c r="G701"/>
      <c r="H701"/>
    </row>
    <row r="702" spans="1:8" ht="14.25" customHeight="1" x14ac:dyDescent="0.3">
      <c r="A702"/>
      <c r="B702"/>
      <c r="C702"/>
      <c r="D702"/>
      <c r="E702"/>
      <c r="F702"/>
      <c r="G702"/>
      <c r="H702"/>
    </row>
    <row r="703" spans="1:8" ht="14.25" customHeight="1" x14ac:dyDescent="0.3">
      <c r="A703"/>
      <c r="B703"/>
      <c r="C703"/>
      <c r="D703"/>
      <c r="E703"/>
      <c r="F703"/>
      <c r="G703"/>
      <c r="H703"/>
    </row>
    <row r="704" spans="1:8" ht="14.25" customHeight="1" x14ac:dyDescent="0.3">
      <c r="A704"/>
      <c r="B704"/>
      <c r="C704"/>
      <c r="D704"/>
      <c r="E704"/>
      <c r="F704"/>
      <c r="G704"/>
      <c r="H704"/>
    </row>
    <row r="705" spans="1:8" ht="14.25" customHeight="1" x14ac:dyDescent="0.3">
      <c r="A705"/>
      <c r="B705"/>
      <c r="C705"/>
      <c r="D705"/>
      <c r="E705"/>
      <c r="F705"/>
      <c r="G705"/>
      <c r="H705"/>
    </row>
    <row r="706" spans="1:8" ht="14.25" customHeight="1" x14ac:dyDescent="0.3">
      <c r="A706"/>
      <c r="B706"/>
      <c r="C706"/>
      <c r="D706"/>
      <c r="E706"/>
      <c r="F706"/>
      <c r="G706"/>
      <c r="H706"/>
    </row>
    <row r="707" spans="1:8" ht="14.25" customHeight="1" x14ac:dyDescent="0.3">
      <c r="A707"/>
      <c r="B707"/>
      <c r="C707"/>
      <c r="D707"/>
      <c r="E707"/>
      <c r="F707"/>
      <c r="G707"/>
      <c r="H707"/>
    </row>
    <row r="708" spans="1:8" ht="14.25" customHeight="1" x14ac:dyDescent="0.3">
      <c r="A708"/>
      <c r="B708"/>
      <c r="C708"/>
      <c r="D708"/>
      <c r="E708"/>
      <c r="F708"/>
      <c r="G708"/>
      <c r="H708"/>
    </row>
    <row r="709" spans="1:8" ht="14.25" customHeight="1" x14ac:dyDescent="0.3">
      <c r="A709"/>
      <c r="B709"/>
      <c r="C709"/>
      <c r="D709"/>
      <c r="E709"/>
      <c r="F709"/>
      <c r="G709"/>
      <c r="H709"/>
    </row>
    <row r="710" spans="1:8" ht="14.25" customHeight="1" x14ac:dyDescent="0.3">
      <c r="A710"/>
      <c r="B710"/>
      <c r="C710"/>
      <c r="D710"/>
      <c r="E710"/>
      <c r="F710"/>
      <c r="G710"/>
      <c r="H710"/>
    </row>
    <row r="711" spans="1:8" ht="14.25" customHeight="1" x14ac:dyDescent="0.3">
      <c r="A711"/>
      <c r="B711"/>
      <c r="C711"/>
      <c r="D711"/>
      <c r="E711"/>
      <c r="F711"/>
      <c r="G711"/>
      <c r="H711"/>
    </row>
    <row r="712" spans="1:8" ht="14.25" customHeight="1" x14ac:dyDescent="0.3">
      <c r="A712"/>
      <c r="B712"/>
      <c r="C712"/>
      <c r="D712"/>
      <c r="E712"/>
      <c r="F712"/>
      <c r="G712"/>
      <c r="H712"/>
    </row>
    <row r="713" spans="1:8" ht="14.25" customHeight="1" x14ac:dyDescent="0.3">
      <c r="A713"/>
      <c r="B713"/>
      <c r="C713"/>
      <c r="D713"/>
      <c r="E713"/>
      <c r="F713"/>
      <c r="G713"/>
      <c r="H713"/>
    </row>
    <row r="714" spans="1:8" ht="14.25" customHeight="1" x14ac:dyDescent="0.3">
      <c r="A714"/>
      <c r="B714"/>
      <c r="C714"/>
      <c r="D714"/>
      <c r="E714"/>
      <c r="F714"/>
      <c r="G714"/>
      <c r="H714"/>
    </row>
    <row r="715" spans="1:8" ht="14.25" customHeight="1" x14ac:dyDescent="0.3">
      <c r="A715"/>
      <c r="B715"/>
      <c r="C715"/>
      <c r="D715"/>
      <c r="E715"/>
      <c r="F715"/>
      <c r="G715"/>
      <c r="H715"/>
    </row>
    <row r="716" spans="1:8" ht="14.25" customHeight="1" x14ac:dyDescent="0.3">
      <c r="A716"/>
      <c r="B716"/>
      <c r="C716"/>
      <c r="D716"/>
      <c r="E716"/>
      <c r="F716"/>
      <c r="G716"/>
      <c r="H716"/>
    </row>
    <row r="717" spans="1:8" ht="14.25" customHeight="1" x14ac:dyDescent="0.3">
      <c r="A717"/>
      <c r="B717"/>
      <c r="C717"/>
      <c r="D717"/>
      <c r="E717"/>
      <c r="F717"/>
      <c r="G717"/>
      <c r="H717"/>
    </row>
    <row r="718" spans="1:8" ht="14.25" customHeight="1" x14ac:dyDescent="0.3">
      <c r="A718"/>
      <c r="B718"/>
      <c r="C718"/>
      <c r="D718"/>
      <c r="E718"/>
      <c r="F718"/>
      <c r="G718"/>
      <c r="H718"/>
    </row>
    <row r="719" spans="1:8" ht="14.25" customHeight="1" x14ac:dyDescent="0.3">
      <c r="A719"/>
      <c r="B719"/>
      <c r="C719"/>
      <c r="D719"/>
      <c r="E719"/>
      <c r="F719"/>
      <c r="G719"/>
      <c r="H719"/>
    </row>
    <row r="720" spans="1:8" ht="14.25" customHeight="1" x14ac:dyDescent="0.3">
      <c r="A720"/>
      <c r="B720"/>
      <c r="C720"/>
      <c r="D720"/>
      <c r="E720"/>
      <c r="F720"/>
      <c r="G720"/>
      <c r="H720"/>
    </row>
    <row r="721" spans="1:8" ht="14.25" customHeight="1" x14ac:dyDescent="0.3">
      <c r="A721"/>
      <c r="B721"/>
      <c r="C721"/>
      <c r="D721"/>
      <c r="E721"/>
      <c r="F721"/>
      <c r="G721"/>
      <c r="H721"/>
    </row>
    <row r="722" spans="1:8" ht="14.25" customHeight="1" x14ac:dyDescent="0.3">
      <c r="A722"/>
      <c r="B722"/>
      <c r="C722"/>
      <c r="D722"/>
      <c r="E722"/>
      <c r="F722"/>
      <c r="G722"/>
      <c r="H722"/>
    </row>
    <row r="723" spans="1:8" ht="14.25" customHeight="1" x14ac:dyDescent="0.3">
      <c r="A723"/>
      <c r="B723"/>
      <c r="C723"/>
      <c r="D723"/>
      <c r="E723"/>
      <c r="F723"/>
      <c r="G723"/>
      <c r="H723"/>
    </row>
    <row r="724" spans="1:8" ht="14.25" customHeight="1" x14ac:dyDescent="0.3">
      <c r="A724"/>
      <c r="B724"/>
      <c r="C724"/>
      <c r="D724"/>
      <c r="E724"/>
      <c r="F724"/>
      <c r="G724"/>
      <c r="H724"/>
    </row>
    <row r="725" spans="1:8" ht="14.25" customHeight="1" x14ac:dyDescent="0.3">
      <c r="A725"/>
      <c r="B725"/>
      <c r="C725"/>
      <c r="D725"/>
      <c r="E725"/>
      <c r="F725"/>
      <c r="G725"/>
      <c r="H725"/>
    </row>
    <row r="726" spans="1:8" ht="14.25" customHeight="1" x14ac:dyDescent="0.3">
      <c r="A726"/>
      <c r="B726"/>
      <c r="C726"/>
      <c r="D726"/>
      <c r="E726"/>
      <c r="F726"/>
      <c r="G726"/>
      <c r="H726"/>
    </row>
    <row r="727" spans="1:8" ht="14.25" customHeight="1" x14ac:dyDescent="0.3">
      <c r="A727"/>
      <c r="B727"/>
      <c r="C727"/>
      <c r="D727"/>
      <c r="E727"/>
      <c r="F727"/>
      <c r="G727"/>
      <c r="H727"/>
    </row>
    <row r="728" spans="1:8" ht="14.25" customHeight="1" x14ac:dyDescent="0.3">
      <c r="A728"/>
      <c r="B728"/>
      <c r="C728"/>
      <c r="D728"/>
      <c r="E728"/>
      <c r="F728"/>
      <c r="G728"/>
      <c r="H728"/>
    </row>
    <row r="729" spans="1:8" ht="14.25" customHeight="1" x14ac:dyDescent="0.3">
      <c r="A729"/>
      <c r="B729"/>
      <c r="C729"/>
      <c r="D729"/>
      <c r="E729"/>
      <c r="F729"/>
      <c r="G729"/>
      <c r="H729"/>
    </row>
    <row r="730" spans="1:8" ht="14.25" customHeight="1" x14ac:dyDescent="0.3">
      <c r="A730"/>
      <c r="B730"/>
      <c r="C730"/>
      <c r="D730"/>
      <c r="E730"/>
      <c r="F730"/>
      <c r="G730"/>
      <c r="H730"/>
    </row>
    <row r="731" spans="1:8" ht="14.25" customHeight="1" x14ac:dyDescent="0.3">
      <c r="A731"/>
      <c r="B731"/>
      <c r="C731"/>
      <c r="D731"/>
      <c r="E731"/>
      <c r="F731"/>
      <c r="G731"/>
      <c r="H731"/>
    </row>
    <row r="732" spans="1:8" ht="14.25" customHeight="1" x14ac:dyDescent="0.3">
      <c r="A732"/>
      <c r="B732"/>
      <c r="C732"/>
      <c r="D732"/>
      <c r="E732"/>
      <c r="F732"/>
      <c r="G732"/>
      <c r="H732"/>
    </row>
    <row r="733" spans="1:8" ht="14.25" customHeight="1" x14ac:dyDescent="0.3">
      <c r="A733"/>
      <c r="B733"/>
      <c r="C733"/>
      <c r="D733"/>
      <c r="E733"/>
      <c r="F733"/>
      <c r="G733"/>
      <c r="H733"/>
    </row>
    <row r="734" spans="1:8" ht="14.25" customHeight="1" x14ac:dyDescent="0.3">
      <c r="A734"/>
      <c r="B734"/>
      <c r="C734"/>
      <c r="D734"/>
      <c r="E734"/>
      <c r="F734"/>
      <c r="G734"/>
      <c r="H734"/>
    </row>
    <row r="735" spans="1:8" ht="14.25" customHeight="1" x14ac:dyDescent="0.3">
      <c r="A735"/>
      <c r="B735"/>
      <c r="C735"/>
      <c r="D735"/>
      <c r="E735"/>
      <c r="F735"/>
      <c r="G735"/>
      <c r="H735"/>
    </row>
    <row r="736" spans="1:8" ht="14.25" customHeight="1" x14ac:dyDescent="0.3">
      <c r="A736"/>
      <c r="B736"/>
      <c r="C736"/>
      <c r="D736"/>
      <c r="E736"/>
      <c r="F736"/>
      <c r="G736"/>
      <c r="H736"/>
    </row>
    <row r="737" spans="1:8" ht="14.25" customHeight="1" x14ac:dyDescent="0.3">
      <c r="A737"/>
      <c r="B737"/>
      <c r="C737"/>
      <c r="D737"/>
      <c r="E737"/>
      <c r="F737"/>
      <c r="G737"/>
      <c r="H737"/>
    </row>
    <row r="738" spans="1:8" ht="14.25" customHeight="1" x14ac:dyDescent="0.3">
      <c r="A738"/>
      <c r="B738"/>
      <c r="C738"/>
      <c r="D738"/>
      <c r="E738"/>
      <c r="F738"/>
      <c r="G738"/>
      <c r="H738"/>
    </row>
    <row r="739" spans="1:8" ht="14.25" customHeight="1" x14ac:dyDescent="0.3">
      <c r="A739"/>
      <c r="B739"/>
      <c r="C739"/>
      <c r="D739"/>
      <c r="E739"/>
      <c r="F739"/>
      <c r="G739"/>
      <c r="H739"/>
    </row>
    <row r="740" spans="1:8" ht="14.25" customHeight="1" x14ac:dyDescent="0.3">
      <c r="A740"/>
      <c r="B740"/>
      <c r="C740"/>
      <c r="D740"/>
      <c r="E740"/>
      <c r="F740"/>
      <c r="G740"/>
      <c r="H740"/>
    </row>
    <row r="741" spans="1:8" ht="14.25" customHeight="1" x14ac:dyDescent="0.3">
      <c r="A741"/>
      <c r="B741"/>
      <c r="C741"/>
      <c r="D741"/>
      <c r="E741"/>
      <c r="F741"/>
      <c r="G741"/>
      <c r="H741"/>
    </row>
    <row r="742" spans="1:8" ht="14.25" customHeight="1" x14ac:dyDescent="0.3">
      <c r="A742"/>
      <c r="B742"/>
      <c r="C742"/>
      <c r="D742"/>
      <c r="E742"/>
      <c r="F742"/>
      <c r="G742"/>
      <c r="H742"/>
    </row>
    <row r="743" spans="1:8" ht="14.25" customHeight="1" x14ac:dyDescent="0.3">
      <c r="A743"/>
      <c r="B743"/>
      <c r="C743"/>
      <c r="D743"/>
      <c r="E743"/>
      <c r="F743"/>
      <c r="G743"/>
      <c r="H743"/>
    </row>
    <row r="744" spans="1:8" ht="14.25" customHeight="1" x14ac:dyDescent="0.3">
      <c r="A744"/>
      <c r="B744"/>
      <c r="C744"/>
      <c r="D744"/>
      <c r="E744"/>
      <c r="F744"/>
      <c r="G744"/>
      <c r="H744"/>
    </row>
    <row r="745" spans="1:8" ht="14.25" customHeight="1" x14ac:dyDescent="0.3">
      <c r="A745"/>
      <c r="B745"/>
      <c r="C745"/>
      <c r="D745"/>
      <c r="E745"/>
      <c r="F745"/>
      <c r="G745"/>
      <c r="H745"/>
    </row>
    <row r="746" spans="1:8" ht="14.25" customHeight="1" x14ac:dyDescent="0.3">
      <c r="A746"/>
      <c r="B746"/>
      <c r="C746"/>
      <c r="D746"/>
      <c r="E746"/>
      <c r="F746"/>
      <c r="G746"/>
      <c r="H746"/>
    </row>
    <row r="747" spans="1:8" ht="14.25" customHeight="1" x14ac:dyDescent="0.3">
      <c r="A747"/>
      <c r="B747"/>
      <c r="C747"/>
      <c r="D747"/>
      <c r="E747"/>
      <c r="F747"/>
      <c r="G747"/>
      <c r="H747"/>
    </row>
    <row r="748" spans="1:8" ht="14.25" customHeight="1" x14ac:dyDescent="0.3">
      <c r="A748"/>
      <c r="B748"/>
      <c r="C748"/>
      <c r="D748"/>
      <c r="E748"/>
      <c r="F748"/>
      <c r="G748"/>
      <c r="H748"/>
    </row>
    <row r="749" spans="1:8" ht="14.25" customHeight="1" x14ac:dyDescent="0.3">
      <c r="A749"/>
      <c r="B749"/>
      <c r="C749"/>
      <c r="D749"/>
      <c r="E749"/>
      <c r="F749"/>
      <c r="G749"/>
      <c r="H749"/>
    </row>
    <row r="750" spans="1:8" ht="14.25" customHeight="1" x14ac:dyDescent="0.3">
      <c r="A750"/>
      <c r="B750"/>
      <c r="C750"/>
      <c r="D750"/>
      <c r="E750"/>
      <c r="F750"/>
      <c r="G750"/>
      <c r="H750"/>
    </row>
    <row r="751" spans="1:8" ht="14.25" customHeight="1" x14ac:dyDescent="0.3">
      <c r="A751"/>
      <c r="B751"/>
      <c r="C751"/>
      <c r="D751"/>
      <c r="E751"/>
      <c r="F751"/>
      <c r="G751"/>
      <c r="H751"/>
    </row>
    <row r="752" spans="1:8" ht="14.25" customHeight="1" x14ac:dyDescent="0.3">
      <c r="A752"/>
      <c r="B752"/>
      <c r="C752"/>
      <c r="D752"/>
      <c r="E752"/>
      <c r="F752"/>
      <c r="G752"/>
      <c r="H752"/>
    </row>
    <row r="753" spans="1:8" ht="14.25" customHeight="1" x14ac:dyDescent="0.3">
      <c r="A753"/>
      <c r="B753"/>
      <c r="C753"/>
      <c r="D753"/>
      <c r="E753"/>
      <c r="F753"/>
      <c r="G753"/>
      <c r="H753"/>
    </row>
    <row r="754" spans="1:8" ht="14.25" customHeight="1" x14ac:dyDescent="0.3">
      <c r="A754"/>
      <c r="B754"/>
      <c r="C754"/>
      <c r="D754"/>
      <c r="E754"/>
      <c r="F754"/>
      <c r="G754"/>
      <c r="H754"/>
    </row>
    <row r="755" spans="1:8" ht="14.25" customHeight="1" x14ac:dyDescent="0.3">
      <c r="A755"/>
      <c r="B755"/>
      <c r="C755"/>
      <c r="D755"/>
      <c r="E755"/>
      <c r="F755"/>
      <c r="G755"/>
      <c r="H755"/>
    </row>
    <row r="756" spans="1:8" ht="14.25" customHeight="1" x14ac:dyDescent="0.3">
      <c r="A756"/>
      <c r="B756"/>
      <c r="C756"/>
      <c r="D756"/>
      <c r="E756"/>
      <c r="F756"/>
      <c r="G756"/>
      <c r="H756"/>
    </row>
    <row r="757" spans="1:8" ht="14.25" customHeight="1" x14ac:dyDescent="0.3">
      <c r="A757"/>
      <c r="B757"/>
      <c r="C757"/>
      <c r="D757"/>
      <c r="E757"/>
      <c r="F757"/>
      <c r="G757"/>
      <c r="H757"/>
    </row>
    <row r="758" spans="1:8" ht="14.25" customHeight="1" x14ac:dyDescent="0.3">
      <c r="A758"/>
      <c r="B758"/>
      <c r="C758"/>
      <c r="D758"/>
      <c r="E758"/>
      <c r="F758"/>
      <c r="G758"/>
      <c r="H758"/>
    </row>
    <row r="759" spans="1:8" ht="14.25" customHeight="1" x14ac:dyDescent="0.3">
      <c r="A759"/>
      <c r="B759"/>
      <c r="C759"/>
      <c r="D759"/>
      <c r="E759"/>
      <c r="F759"/>
      <c r="G759"/>
      <c r="H759"/>
    </row>
    <row r="760" spans="1:8" ht="14.25" customHeight="1" x14ac:dyDescent="0.3">
      <c r="A760"/>
      <c r="B760"/>
      <c r="C760"/>
      <c r="D760"/>
      <c r="E760"/>
      <c r="F760"/>
      <c r="G760"/>
      <c r="H760"/>
    </row>
    <row r="761" spans="1:8" ht="14.25" customHeight="1" x14ac:dyDescent="0.3">
      <c r="A761"/>
      <c r="B761"/>
      <c r="C761"/>
      <c r="D761"/>
      <c r="E761"/>
      <c r="F761"/>
      <c r="G761"/>
      <c r="H761"/>
    </row>
    <row r="762" spans="1:8" ht="14.25" customHeight="1" x14ac:dyDescent="0.3">
      <c r="A762"/>
      <c r="B762"/>
      <c r="C762"/>
      <c r="D762"/>
      <c r="E762"/>
      <c r="F762"/>
      <c r="G762"/>
      <c r="H762"/>
    </row>
    <row r="763" spans="1:8" ht="14.25" customHeight="1" x14ac:dyDescent="0.3">
      <c r="A763"/>
      <c r="B763"/>
      <c r="C763"/>
      <c r="D763"/>
      <c r="E763"/>
      <c r="F763"/>
      <c r="G763"/>
      <c r="H763"/>
    </row>
    <row r="764" spans="1:8" ht="14.25" customHeight="1" x14ac:dyDescent="0.3">
      <c r="A764"/>
      <c r="B764"/>
      <c r="C764"/>
      <c r="D764"/>
      <c r="E764"/>
      <c r="F764"/>
      <c r="G764"/>
      <c r="H764"/>
    </row>
    <row r="765" spans="1:8" ht="14.25" customHeight="1" x14ac:dyDescent="0.3">
      <c r="A765"/>
      <c r="B765"/>
      <c r="C765"/>
      <c r="D765"/>
      <c r="E765"/>
      <c r="F765"/>
      <c r="G765"/>
      <c r="H765"/>
    </row>
    <row r="766" spans="1:8" ht="14.25" customHeight="1" x14ac:dyDescent="0.3">
      <c r="A766"/>
      <c r="B766"/>
      <c r="C766"/>
      <c r="D766"/>
      <c r="E766"/>
      <c r="F766"/>
      <c r="G766"/>
      <c r="H766"/>
    </row>
    <row r="767" spans="1:8" ht="14.25" customHeight="1" x14ac:dyDescent="0.3">
      <c r="A767"/>
      <c r="B767"/>
      <c r="C767"/>
      <c r="D767"/>
      <c r="E767"/>
      <c r="F767"/>
      <c r="G767"/>
      <c r="H767"/>
    </row>
    <row r="768" spans="1:8" ht="14.25" customHeight="1" x14ac:dyDescent="0.3">
      <c r="A768"/>
      <c r="B768"/>
      <c r="C768"/>
      <c r="D768"/>
      <c r="E768"/>
      <c r="F768"/>
      <c r="G768"/>
      <c r="H768"/>
    </row>
    <row r="769" spans="1:8" ht="14.25" customHeight="1" x14ac:dyDescent="0.3">
      <c r="A769"/>
      <c r="B769"/>
      <c r="C769"/>
      <c r="D769"/>
      <c r="E769"/>
      <c r="F769"/>
      <c r="G769"/>
      <c r="H769"/>
    </row>
    <row r="770" spans="1:8" ht="14.25" customHeight="1" x14ac:dyDescent="0.3">
      <c r="A770"/>
      <c r="B770"/>
      <c r="C770"/>
      <c r="D770"/>
      <c r="E770"/>
      <c r="F770"/>
      <c r="G770"/>
      <c r="H770"/>
    </row>
    <row r="771" spans="1:8" ht="14.25" customHeight="1" x14ac:dyDescent="0.3">
      <c r="A771"/>
      <c r="B771"/>
      <c r="C771"/>
      <c r="D771"/>
      <c r="E771"/>
      <c r="F771"/>
      <c r="G771"/>
      <c r="H771"/>
    </row>
    <row r="772" spans="1:8" ht="14.25" customHeight="1" x14ac:dyDescent="0.3">
      <c r="A772"/>
      <c r="B772"/>
      <c r="C772"/>
      <c r="D772"/>
      <c r="E772"/>
      <c r="F772"/>
      <c r="G772"/>
      <c r="H772"/>
    </row>
    <row r="773" spans="1:8" ht="14.25" customHeight="1" x14ac:dyDescent="0.3">
      <c r="A773"/>
      <c r="B773"/>
      <c r="C773"/>
      <c r="D773"/>
      <c r="E773"/>
      <c r="F773"/>
      <c r="G773"/>
      <c r="H773"/>
    </row>
    <row r="774" spans="1:8" ht="14.25" customHeight="1" x14ac:dyDescent="0.3">
      <c r="A774"/>
      <c r="B774"/>
      <c r="C774"/>
      <c r="D774"/>
      <c r="E774"/>
      <c r="F774"/>
      <c r="G774"/>
      <c r="H774"/>
    </row>
    <row r="775" spans="1:8" ht="14.25" customHeight="1" x14ac:dyDescent="0.3">
      <c r="A775"/>
      <c r="B775"/>
      <c r="C775"/>
      <c r="D775"/>
      <c r="E775"/>
      <c r="F775"/>
      <c r="G775"/>
      <c r="H775"/>
    </row>
    <row r="776" spans="1:8" ht="14.25" customHeight="1" x14ac:dyDescent="0.3">
      <c r="A776"/>
      <c r="B776"/>
      <c r="C776"/>
      <c r="D776"/>
      <c r="E776"/>
      <c r="F776"/>
      <c r="G776"/>
      <c r="H776"/>
    </row>
    <row r="777" spans="1:8" ht="14.25" customHeight="1" x14ac:dyDescent="0.3">
      <c r="A777"/>
      <c r="B777"/>
      <c r="C777"/>
      <c r="D777"/>
      <c r="E777"/>
      <c r="F777"/>
      <c r="G777"/>
      <c r="H777"/>
    </row>
    <row r="778" spans="1:8" ht="14.25" customHeight="1" x14ac:dyDescent="0.3">
      <c r="A778"/>
      <c r="B778"/>
      <c r="C778"/>
      <c r="D778"/>
      <c r="E778"/>
      <c r="F778"/>
      <c r="G778"/>
      <c r="H778"/>
    </row>
    <row r="779" spans="1:8" ht="14.25" customHeight="1" x14ac:dyDescent="0.3">
      <c r="A779"/>
      <c r="B779"/>
      <c r="C779"/>
      <c r="D779"/>
      <c r="E779"/>
      <c r="F779"/>
      <c r="G779"/>
      <c r="H779"/>
    </row>
    <row r="780" spans="1:8" ht="14.25" customHeight="1" x14ac:dyDescent="0.3">
      <c r="A780"/>
      <c r="B780"/>
      <c r="C780"/>
      <c r="D780"/>
      <c r="E780"/>
      <c r="F780"/>
      <c r="G780"/>
      <c r="H780"/>
    </row>
    <row r="781" spans="1:8" ht="14.25" customHeight="1" x14ac:dyDescent="0.3">
      <c r="A781"/>
      <c r="B781"/>
      <c r="C781"/>
      <c r="D781"/>
      <c r="E781"/>
      <c r="F781"/>
      <c r="G781"/>
      <c r="H781"/>
    </row>
    <row r="782" spans="1:8" ht="14.25" customHeight="1" x14ac:dyDescent="0.3">
      <c r="A782"/>
      <c r="B782"/>
      <c r="C782"/>
      <c r="D782"/>
      <c r="E782"/>
      <c r="F782"/>
      <c r="G782"/>
      <c r="H782"/>
    </row>
    <row r="783" spans="1:8" ht="14.25" customHeight="1" x14ac:dyDescent="0.3">
      <c r="A783"/>
      <c r="B783"/>
      <c r="C783"/>
      <c r="D783"/>
      <c r="E783"/>
      <c r="F783"/>
      <c r="G783"/>
      <c r="H783"/>
    </row>
    <row r="784" spans="1:8" ht="14.25" customHeight="1" x14ac:dyDescent="0.3">
      <c r="A784"/>
      <c r="B784"/>
      <c r="C784"/>
      <c r="D784"/>
      <c r="E784"/>
      <c r="F784"/>
      <c r="G784"/>
      <c r="H784"/>
    </row>
    <row r="785" spans="1:8" ht="14.25" customHeight="1" x14ac:dyDescent="0.3">
      <c r="A785"/>
      <c r="B785"/>
      <c r="C785"/>
      <c r="D785"/>
      <c r="E785"/>
      <c r="F785"/>
      <c r="G785"/>
      <c r="H785"/>
    </row>
    <row r="786" spans="1:8" ht="14.25" customHeight="1" x14ac:dyDescent="0.3">
      <c r="A786"/>
      <c r="B786"/>
      <c r="C786"/>
      <c r="D786"/>
      <c r="E786"/>
      <c r="F786"/>
      <c r="G786"/>
      <c r="H786"/>
    </row>
    <row r="787" spans="1:8" ht="14.25" customHeight="1" x14ac:dyDescent="0.3">
      <c r="A787"/>
      <c r="B787"/>
      <c r="C787"/>
      <c r="D787"/>
      <c r="E787"/>
      <c r="F787"/>
      <c r="G787"/>
      <c r="H787"/>
    </row>
    <row r="788" spans="1:8" ht="14.25" customHeight="1" x14ac:dyDescent="0.3">
      <c r="A788"/>
      <c r="B788"/>
      <c r="C788"/>
      <c r="D788"/>
      <c r="E788"/>
      <c r="F788"/>
      <c r="G788"/>
      <c r="H788"/>
    </row>
    <row r="789" spans="1:8" ht="14.25" customHeight="1" x14ac:dyDescent="0.3">
      <c r="A789"/>
      <c r="B789"/>
      <c r="C789"/>
      <c r="D789"/>
      <c r="E789"/>
      <c r="F789"/>
      <c r="G789"/>
      <c r="H789"/>
    </row>
    <row r="790" spans="1:8" ht="14.25" customHeight="1" x14ac:dyDescent="0.3">
      <c r="A790"/>
      <c r="B790"/>
      <c r="C790"/>
      <c r="D790"/>
      <c r="E790"/>
      <c r="F790"/>
      <c r="G790"/>
      <c r="H790"/>
    </row>
    <row r="791" spans="1:8" ht="14.25" customHeight="1" x14ac:dyDescent="0.3">
      <c r="A791"/>
      <c r="B791"/>
      <c r="C791"/>
      <c r="D791"/>
      <c r="E791"/>
      <c r="F791"/>
      <c r="G791"/>
      <c r="H791"/>
    </row>
    <row r="792" spans="1:8" ht="14.25" customHeight="1" x14ac:dyDescent="0.3">
      <c r="A792"/>
      <c r="B792"/>
      <c r="C792"/>
      <c r="D792"/>
      <c r="E792"/>
      <c r="F792"/>
      <c r="G792"/>
      <c r="H792"/>
    </row>
    <row r="793" spans="1:8" ht="14.25" customHeight="1" x14ac:dyDescent="0.3">
      <c r="A793"/>
      <c r="B793"/>
      <c r="C793"/>
      <c r="D793"/>
      <c r="E793"/>
      <c r="F793"/>
      <c r="G793"/>
      <c r="H793"/>
    </row>
    <row r="794" spans="1:8" ht="14.25" customHeight="1" x14ac:dyDescent="0.3">
      <c r="A794"/>
      <c r="B794"/>
      <c r="C794"/>
      <c r="D794"/>
      <c r="E794"/>
      <c r="F794"/>
      <c r="G794"/>
      <c r="H794"/>
    </row>
    <row r="795" spans="1:8" ht="14.25" customHeight="1" x14ac:dyDescent="0.3">
      <c r="A795"/>
      <c r="B795"/>
      <c r="C795"/>
      <c r="D795"/>
      <c r="E795"/>
      <c r="F795"/>
      <c r="G795"/>
      <c r="H795"/>
    </row>
    <row r="796" spans="1:8" ht="14.25" customHeight="1" x14ac:dyDescent="0.3">
      <c r="A796"/>
      <c r="B796"/>
      <c r="C796"/>
      <c r="D796"/>
      <c r="E796"/>
      <c r="F796"/>
      <c r="G796"/>
      <c r="H796"/>
    </row>
    <row r="797" spans="1:8" ht="14.25" customHeight="1" x14ac:dyDescent="0.3">
      <c r="A797"/>
      <c r="B797"/>
      <c r="C797"/>
      <c r="D797"/>
      <c r="E797"/>
      <c r="F797"/>
      <c r="G797"/>
      <c r="H797"/>
    </row>
    <row r="798" spans="1:8" ht="14.25" customHeight="1" x14ac:dyDescent="0.3">
      <c r="A798"/>
      <c r="B798"/>
      <c r="C798"/>
      <c r="D798"/>
      <c r="E798"/>
      <c r="F798"/>
      <c r="G798"/>
      <c r="H798"/>
    </row>
    <row r="799" spans="1:8" ht="14.25" customHeight="1" x14ac:dyDescent="0.3">
      <c r="A799"/>
      <c r="B799"/>
      <c r="C799"/>
      <c r="D799"/>
      <c r="E799"/>
      <c r="F799"/>
      <c r="G799"/>
      <c r="H799"/>
    </row>
    <row r="800" spans="1:8" ht="14.25" customHeight="1" x14ac:dyDescent="0.3">
      <c r="A800"/>
      <c r="B800"/>
      <c r="C800"/>
      <c r="D800"/>
      <c r="E800"/>
      <c r="F800"/>
      <c r="G800"/>
      <c r="H800"/>
    </row>
    <row r="801" spans="1:8" ht="14.25" customHeight="1" x14ac:dyDescent="0.3">
      <c r="A801"/>
      <c r="B801"/>
      <c r="C801"/>
      <c r="D801"/>
      <c r="E801"/>
      <c r="F801"/>
      <c r="G801"/>
      <c r="H801"/>
    </row>
    <row r="802" spans="1:8" ht="14.25" customHeight="1" x14ac:dyDescent="0.3">
      <c r="A802"/>
      <c r="B802"/>
      <c r="C802"/>
      <c r="D802"/>
      <c r="E802"/>
      <c r="F802"/>
      <c r="G802"/>
      <c r="H802"/>
    </row>
    <row r="803" spans="1:8" ht="14.25" customHeight="1" x14ac:dyDescent="0.3">
      <c r="A803"/>
      <c r="B803"/>
      <c r="C803"/>
      <c r="D803"/>
      <c r="E803"/>
      <c r="F803"/>
      <c r="G803"/>
      <c r="H803"/>
    </row>
    <row r="804" spans="1:8" ht="14.25" customHeight="1" x14ac:dyDescent="0.3">
      <c r="A804"/>
      <c r="B804"/>
      <c r="C804"/>
      <c r="D804"/>
      <c r="E804"/>
      <c r="F804"/>
      <c r="G804"/>
      <c r="H804"/>
    </row>
    <row r="805" spans="1:8" ht="14.25" customHeight="1" x14ac:dyDescent="0.3">
      <c r="A805"/>
      <c r="B805"/>
      <c r="C805"/>
      <c r="D805"/>
      <c r="E805"/>
      <c r="F805"/>
      <c r="G805"/>
      <c r="H805"/>
    </row>
    <row r="806" spans="1:8" ht="14.25" customHeight="1" x14ac:dyDescent="0.3">
      <c r="A806"/>
      <c r="B806"/>
      <c r="C806"/>
      <c r="D806"/>
      <c r="E806"/>
      <c r="F806"/>
      <c r="G806"/>
      <c r="H806"/>
    </row>
    <row r="807" spans="1:8" ht="14.25" customHeight="1" x14ac:dyDescent="0.3">
      <c r="A807"/>
      <c r="B807"/>
      <c r="C807"/>
      <c r="D807"/>
      <c r="E807"/>
      <c r="F807"/>
      <c r="G807"/>
      <c r="H807"/>
    </row>
    <row r="808" spans="1:8" ht="14.25" customHeight="1" x14ac:dyDescent="0.3">
      <c r="A808"/>
      <c r="B808"/>
      <c r="C808"/>
      <c r="D808"/>
      <c r="E808"/>
      <c r="F808"/>
      <c r="G808"/>
      <c r="H808"/>
    </row>
    <row r="809" spans="1:8" ht="14.25" customHeight="1" x14ac:dyDescent="0.3">
      <c r="A809"/>
      <c r="B809"/>
      <c r="C809"/>
      <c r="D809"/>
      <c r="E809"/>
      <c r="F809"/>
      <c r="G809"/>
      <c r="H809"/>
    </row>
    <row r="810" spans="1:8" ht="14.25" customHeight="1" x14ac:dyDescent="0.3">
      <c r="A810"/>
      <c r="B810"/>
      <c r="C810"/>
      <c r="D810"/>
      <c r="E810"/>
      <c r="F810"/>
      <c r="G810"/>
      <c r="H810"/>
    </row>
    <row r="811" spans="1:8" ht="14.25" customHeight="1" x14ac:dyDescent="0.3">
      <c r="A811"/>
      <c r="B811"/>
      <c r="C811"/>
      <c r="D811"/>
      <c r="E811"/>
      <c r="F811"/>
      <c r="G811"/>
      <c r="H811"/>
    </row>
    <row r="812" spans="1:8" ht="14.25" customHeight="1" x14ac:dyDescent="0.3">
      <c r="A812"/>
      <c r="B812"/>
      <c r="C812"/>
      <c r="D812"/>
      <c r="E812"/>
      <c r="F812"/>
      <c r="G812"/>
      <c r="H812"/>
    </row>
    <row r="813" spans="1:8" ht="14.25" customHeight="1" x14ac:dyDescent="0.3">
      <c r="A813"/>
      <c r="B813"/>
      <c r="C813"/>
      <c r="D813"/>
      <c r="E813"/>
      <c r="F813"/>
      <c r="G813"/>
      <c r="H813"/>
    </row>
    <row r="814" spans="1:8" ht="14.25" customHeight="1" x14ac:dyDescent="0.3">
      <c r="A814"/>
      <c r="B814"/>
      <c r="C814"/>
      <c r="D814"/>
      <c r="E814"/>
      <c r="F814"/>
      <c r="G814"/>
      <c r="H814"/>
    </row>
    <row r="815" spans="1:8" ht="14.25" customHeight="1" x14ac:dyDescent="0.3">
      <c r="A815"/>
      <c r="B815"/>
      <c r="C815"/>
      <c r="D815"/>
      <c r="E815"/>
      <c r="F815"/>
      <c r="G815"/>
      <c r="H815"/>
    </row>
    <row r="816" spans="1:8" ht="14.25" customHeight="1" x14ac:dyDescent="0.3">
      <c r="A816"/>
      <c r="B816"/>
      <c r="C816"/>
      <c r="D816"/>
      <c r="E816"/>
      <c r="F816"/>
      <c r="G816"/>
      <c r="H816"/>
    </row>
    <row r="817" spans="1:8" ht="14.25" customHeight="1" x14ac:dyDescent="0.3">
      <c r="A817"/>
      <c r="B817"/>
      <c r="C817"/>
      <c r="D817"/>
      <c r="E817"/>
      <c r="F817"/>
      <c r="G817"/>
      <c r="H817"/>
    </row>
    <row r="818" spans="1:8" ht="14.25" customHeight="1" x14ac:dyDescent="0.3">
      <c r="A818"/>
      <c r="B818"/>
      <c r="C818"/>
      <c r="D818"/>
      <c r="E818"/>
      <c r="F818"/>
      <c r="G818"/>
      <c r="H818"/>
    </row>
    <row r="819" spans="1:8" ht="14.25" customHeight="1" x14ac:dyDescent="0.3">
      <c r="A819"/>
      <c r="B819"/>
      <c r="C819"/>
      <c r="D819"/>
      <c r="E819"/>
      <c r="F819"/>
      <c r="G819"/>
      <c r="H819"/>
    </row>
    <row r="820" spans="1:8" ht="14.25" customHeight="1" x14ac:dyDescent="0.3">
      <c r="A820"/>
      <c r="B820"/>
      <c r="C820"/>
      <c r="D820"/>
      <c r="E820"/>
      <c r="F820"/>
      <c r="G820"/>
      <c r="H820"/>
    </row>
    <row r="821" spans="1:8" ht="14.25" customHeight="1" x14ac:dyDescent="0.3">
      <c r="A821"/>
      <c r="B821"/>
      <c r="C821"/>
      <c r="D821"/>
      <c r="E821"/>
      <c r="F821"/>
      <c r="G821"/>
      <c r="H821"/>
    </row>
    <row r="822" spans="1:8" ht="14.25" customHeight="1" x14ac:dyDescent="0.3">
      <c r="A822"/>
      <c r="B822"/>
      <c r="C822"/>
      <c r="D822"/>
      <c r="E822"/>
      <c r="F822"/>
      <c r="G822"/>
      <c r="H822"/>
    </row>
    <row r="823" spans="1:8" ht="14.25" customHeight="1" x14ac:dyDescent="0.3">
      <c r="A823"/>
      <c r="B823"/>
      <c r="C823"/>
      <c r="D823"/>
      <c r="E823"/>
      <c r="F823"/>
      <c r="G823"/>
      <c r="H823"/>
    </row>
    <row r="824" spans="1:8" ht="14.25" customHeight="1" x14ac:dyDescent="0.3">
      <c r="A824"/>
      <c r="B824"/>
      <c r="C824"/>
      <c r="D824"/>
      <c r="E824"/>
      <c r="F824"/>
      <c r="G824"/>
      <c r="H824"/>
    </row>
    <row r="825" spans="1:8" ht="14.25" customHeight="1" x14ac:dyDescent="0.3">
      <c r="A825"/>
      <c r="B825"/>
      <c r="C825"/>
      <c r="D825"/>
      <c r="E825"/>
      <c r="F825"/>
      <c r="G825"/>
      <c r="H825"/>
    </row>
    <row r="826" spans="1:8" ht="14.25" customHeight="1" x14ac:dyDescent="0.3">
      <c r="A826"/>
      <c r="B826"/>
      <c r="C826"/>
      <c r="D826"/>
      <c r="E826"/>
      <c r="F826"/>
      <c r="G826"/>
      <c r="H826"/>
    </row>
    <row r="827" spans="1:8" ht="14.25" customHeight="1" x14ac:dyDescent="0.3">
      <c r="A827"/>
      <c r="B827"/>
      <c r="C827"/>
      <c r="D827"/>
      <c r="E827"/>
      <c r="F827"/>
      <c r="G827"/>
      <c r="H827"/>
    </row>
    <row r="828" spans="1:8" ht="14.25" customHeight="1" x14ac:dyDescent="0.3">
      <c r="A828"/>
      <c r="B828"/>
      <c r="C828"/>
      <c r="D828"/>
      <c r="E828"/>
      <c r="F828"/>
      <c r="G828"/>
      <c r="H828"/>
    </row>
    <row r="829" spans="1:8" ht="14.25" customHeight="1" x14ac:dyDescent="0.3">
      <c r="A829"/>
      <c r="B829"/>
      <c r="C829"/>
      <c r="D829"/>
      <c r="E829"/>
      <c r="F829"/>
      <c r="G829"/>
      <c r="H829"/>
    </row>
    <row r="830" spans="1:8" ht="14.25" customHeight="1" x14ac:dyDescent="0.3">
      <c r="A830"/>
      <c r="B830"/>
      <c r="C830"/>
      <c r="D830"/>
      <c r="E830"/>
      <c r="F830"/>
      <c r="G830"/>
      <c r="H830"/>
    </row>
    <row r="831" spans="1:8" ht="14.25" customHeight="1" x14ac:dyDescent="0.3">
      <c r="A831"/>
      <c r="B831"/>
      <c r="C831"/>
      <c r="D831"/>
      <c r="E831"/>
      <c r="F831"/>
      <c r="G831"/>
      <c r="H831"/>
    </row>
    <row r="832" spans="1:8" ht="14.25" customHeight="1" x14ac:dyDescent="0.3">
      <c r="A832"/>
      <c r="B832"/>
      <c r="C832"/>
      <c r="D832"/>
      <c r="E832"/>
      <c r="F832"/>
      <c r="G832"/>
      <c r="H832"/>
    </row>
    <row r="833" spans="1:8" ht="14.25" customHeight="1" x14ac:dyDescent="0.3">
      <c r="A833"/>
      <c r="B833"/>
      <c r="C833"/>
      <c r="D833"/>
      <c r="E833"/>
      <c r="F833"/>
      <c r="G833"/>
      <c r="H833"/>
    </row>
    <row r="834" spans="1:8" ht="14.25" customHeight="1" x14ac:dyDescent="0.3">
      <c r="A834"/>
      <c r="B834"/>
      <c r="C834"/>
      <c r="D834"/>
      <c r="E834"/>
      <c r="F834"/>
      <c r="G834"/>
      <c r="H834"/>
    </row>
    <row r="835" spans="1:8" ht="14.25" customHeight="1" x14ac:dyDescent="0.3">
      <c r="A835"/>
      <c r="B835"/>
      <c r="C835"/>
      <c r="D835"/>
      <c r="E835"/>
      <c r="F835"/>
      <c r="G835"/>
      <c r="H835"/>
    </row>
    <row r="836" spans="1:8" ht="14.25" customHeight="1" x14ac:dyDescent="0.3">
      <c r="A836"/>
      <c r="B836"/>
      <c r="C836"/>
      <c r="D836"/>
      <c r="E836"/>
      <c r="F836"/>
      <c r="G836"/>
      <c r="H836"/>
    </row>
    <row r="837" spans="1:8" ht="14.25" customHeight="1" x14ac:dyDescent="0.3">
      <c r="A837"/>
      <c r="B837"/>
      <c r="C837"/>
      <c r="D837"/>
      <c r="E837"/>
      <c r="F837"/>
      <c r="G837"/>
      <c r="H837"/>
    </row>
    <row r="838" spans="1:8" ht="14.25" customHeight="1" x14ac:dyDescent="0.3">
      <c r="A838"/>
      <c r="B838"/>
      <c r="C838"/>
      <c r="D838"/>
      <c r="E838"/>
      <c r="F838"/>
      <c r="G838"/>
      <c r="H838"/>
    </row>
    <row r="839" spans="1:8" ht="14.25" customHeight="1" x14ac:dyDescent="0.3">
      <c r="A839"/>
      <c r="B839"/>
      <c r="C839"/>
      <c r="D839"/>
      <c r="E839"/>
      <c r="F839"/>
      <c r="G839"/>
      <c r="H839"/>
    </row>
    <row r="840" spans="1:8" ht="14.25" customHeight="1" x14ac:dyDescent="0.3">
      <c r="A840"/>
      <c r="B840"/>
      <c r="C840"/>
      <c r="D840"/>
      <c r="E840"/>
      <c r="F840"/>
      <c r="G840"/>
      <c r="H840"/>
    </row>
    <row r="841" spans="1:8" ht="14.25" customHeight="1" x14ac:dyDescent="0.3">
      <c r="A841"/>
      <c r="B841"/>
      <c r="C841"/>
      <c r="D841"/>
      <c r="E841"/>
      <c r="F841"/>
      <c r="G841"/>
      <c r="H841"/>
    </row>
    <row r="842" spans="1:8" ht="14.25" customHeight="1" x14ac:dyDescent="0.3">
      <c r="A842"/>
      <c r="B842"/>
      <c r="C842"/>
      <c r="D842"/>
      <c r="E842"/>
      <c r="F842"/>
      <c r="G842"/>
      <c r="H842"/>
    </row>
    <row r="843" spans="1:8" ht="14.25" customHeight="1" x14ac:dyDescent="0.3">
      <c r="A843"/>
      <c r="B843"/>
      <c r="C843"/>
      <c r="D843"/>
      <c r="E843"/>
      <c r="F843"/>
      <c r="G843"/>
      <c r="H843"/>
    </row>
    <row r="844" spans="1:8" ht="14.25" customHeight="1" x14ac:dyDescent="0.3">
      <c r="A844"/>
      <c r="B844"/>
      <c r="C844"/>
      <c r="D844"/>
      <c r="E844"/>
      <c r="F844"/>
      <c r="G844"/>
      <c r="H844"/>
    </row>
    <row r="845" spans="1:8" ht="14.25" customHeight="1" x14ac:dyDescent="0.3">
      <c r="A845"/>
      <c r="B845"/>
      <c r="C845"/>
      <c r="D845"/>
      <c r="E845"/>
      <c r="F845"/>
      <c r="G845"/>
      <c r="H845"/>
    </row>
    <row r="846" spans="1:8" ht="14.25" customHeight="1" x14ac:dyDescent="0.3">
      <c r="A846"/>
      <c r="B846"/>
      <c r="C846"/>
      <c r="D846"/>
      <c r="E846"/>
      <c r="F846"/>
      <c r="G846"/>
      <c r="H846"/>
    </row>
    <row r="847" spans="1:8" ht="14.25" customHeight="1" x14ac:dyDescent="0.3">
      <c r="A847"/>
      <c r="B847"/>
      <c r="C847"/>
      <c r="D847"/>
      <c r="E847"/>
      <c r="F847"/>
      <c r="G847"/>
      <c r="H847"/>
    </row>
    <row r="848" spans="1:8" ht="14.25" customHeight="1" x14ac:dyDescent="0.3">
      <c r="A848"/>
      <c r="B848"/>
      <c r="C848"/>
      <c r="D848"/>
      <c r="E848"/>
      <c r="F848"/>
      <c r="G848"/>
      <c r="H848"/>
    </row>
    <row r="849" spans="1:8" ht="14.25" customHeight="1" x14ac:dyDescent="0.3">
      <c r="A849"/>
      <c r="B849"/>
      <c r="C849"/>
      <c r="D849"/>
      <c r="E849"/>
      <c r="F849"/>
      <c r="G849"/>
      <c r="H849"/>
    </row>
    <row r="850" spans="1:8" ht="14.25" customHeight="1" x14ac:dyDescent="0.3">
      <c r="A850"/>
      <c r="B850"/>
      <c r="C850"/>
      <c r="D850"/>
      <c r="E850"/>
      <c r="F850"/>
      <c r="G850"/>
      <c r="H850"/>
    </row>
    <row r="851" spans="1:8" ht="14.25" customHeight="1" x14ac:dyDescent="0.3">
      <c r="A851"/>
      <c r="B851"/>
      <c r="C851"/>
      <c r="D851"/>
      <c r="E851"/>
      <c r="F851"/>
      <c r="G851"/>
      <c r="H851"/>
    </row>
    <row r="852" spans="1:8" ht="14.25" customHeight="1" x14ac:dyDescent="0.3">
      <c r="A852"/>
      <c r="B852"/>
      <c r="C852"/>
      <c r="D852"/>
      <c r="E852"/>
      <c r="F852"/>
      <c r="G852"/>
      <c r="H852"/>
    </row>
    <row r="853" spans="1:8" ht="14.25" customHeight="1" x14ac:dyDescent="0.3">
      <c r="A853"/>
      <c r="B853"/>
      <c r="C853"/>
      <c r="D853"/>
      <c r="E853"/>
      <c r="F853"/>
      <c r="G853"/>
      <c r="H853"/>
    </row>
    <row r="854" spans="1:8" ht="14.25" customHeight="1" x14ac:dyDescent="0.3">
      <c r="A854"/>
      <c r="B854"/>
      <c r="C854"/>
      <c r="D854"/>
      <c r="E854"/>
      <c r="F854"/>
      <c r="G854"/>
      <c r="H854"/>
    </row>
    <row r="855" spans="1:8" ht="14.25" customHeight="1" x14ac:dyDescent="0.3">
      <c r="A855"/>
      <c r="B855"/>
      <c r="C855"/>
      <c r="D855"/>
      <c r="E855"/>
      <c r="F855"/>
      <c r="G855"/>
      <c r="H855"/>
    </row>
    <row r="856" spans="1:8" ht="14.25" customHeight="1" x14ac:dyDescent="0.3">
      <c r="A856"/>
      <c r="B856"/>
      <c r="C856"/>
      <c r="D856"/>
      <c r="E856"/>
      <c r="F856"/>
      <c r="G856"/>
      <c r="H856"/>
    </row>
    <row r="857" spans="1:8" ht="14.25" customHeight="1" x14ac:dyDescent="0.3">
      <c r="A857"/>
      <c r="B857"/>
      <c r="C857"/>
      <c r="D857"/>
      <c r="E857"/>
      <c r="F857"/>
      <c r="G857"/>
      <c r="H857"/>
    </row>
    <row r="858" spans="1:8" ht="14.25" customHeight="1" x14ac:dyDescent="0.3">
      <c r="A858"/>
      <c r="B858"/>
      <c r="C858"/>
      <c r="D858"/>
      <c r="E858"/>
      <c r="F858"/>
      <c r="G858"/>
      <c r="H858"/>
    </row>
    <row r="859" spans="1:8" ht="14.25" customHeight="1" x14ac:dyDescent="0.3">
      <c r="A859"/>
      <c r="B859"/>
      <c r="C859"/>
      <c r="D859"/>
      <c r="E859"/>
      <c r="F859"/>
      <c r="G859"/>
      <c r="H859"/>
    </row>
    <row r="860" spans="1:8" ht="14.25" customHeight="1" x14ac:dyDescent="0.3">
      <c r="A860"/>
      <c r="B860"/>
      <c r="C860"/>
      <c r="D860"/>
      <c r="E860"/>
      <c r="F860"/>
      <c r="G860"/>
      <c r="H860"/>
    </row>
    <row r="861" spans="1:8" ht="14.25" customHeight="1" x14ac:dyDescent="0.3">
      <c r="A861"/>
      <c r="B861"/>
      <c r="C861"/>
      <c r="D861"/>
      <c r="E861"/>
      <c r="F861"/>
      <c r="G861"/>
      <c r="H861"/>
    </row>
    <row r="862" spans="1:8" ht="14.25" customHeight="1" x14ac:dyDescent="0.3">
      <c r="A862"/>
      <c r="B862"/>
      <c r="C862"/>
      <c r="D862"/>
      <c r="E862"/>
      <c r="F862"/>
      <c r="G862"/>
      <c r="H862"/>
    </row>
    <row r="863" spans="1:8" ht="14.25" customHeight="1" x14ac:dyDescent="0.3">
      <c r="A863"/>
      <c r="B863"/>
      <c r="C863"/>
      <c r="D863"/>
      <c r="E863"/>
      <c r="F863"/>
      <c r="G863"/>
      <c r="H863"/>
    </row>
    <row r="864" spans="1:8" ht="14.25" customHeight="1" x14ac:dyDescent="0.3">
      <c r="A864"/>
      <c r="B864"/>
      <c r="C864"/>
      <c r="D864"/>
      <c r="E864"/>
      <c r="F864"/>
      <c r="G864"/>
      <c r="H864"/>
    </row>
    <row r="865" spans="1:8" ht="14.25" customHeight="1" x14ac:dyDescent="0.3">
      <c r="A865"/>
      <c r="B865"/>
      <c r="C865"/>
      <c r="D865"/>
      <c r="E865"/>
      <c r="F865"/>
      <c r="G865"/>
      <c r="H865"/>
    </row>
    <row r="866" spans="1:8" ht="14.25" customHeight="1" x14ac:dyDescent="0.3">
      <c r="A866"/>
      <c r="B866"/>
      <c r="C866"/>
      <c r="D866"/>
      <c r="E866"/>
      <c r="F866"/>
      <c r="G866"/>
      <c r="H866"/>
    </row>
    <row r="867" spans="1:8" ht="14.25" customHeight="1" x14ac:dyDescent="0.3">
      <c r="A867"/>
      <c r="B867"/>
      <c r="C867"/>
      <c r="D867"/>
      <c r="E867"/>
      <c r="F867"/>
      <c r="G867"/>
      <c r="H867"/>
    </row>
    <row r="868" spans="1:8" ht="14.25" customHeight="1" x14ac:dyDescent="0.3">
      <c r="A868"/>
      <c r="B868"/>
      <c r="C868"/>
      <c r="D868"/>
      <c r="E868"/>
      <c r="F868"/>
      <c r="G868"/>
      <c r="H868"/>
    </row>
    <row r="869" spans="1:8" ht="14.25" customHeight="1" x14ac:dyDescent="0.3">
      <c r="A869"/>
      <c r="B869"/>
      <c r="C869"/>
      <c r="D869"/>
      <c r="E869"/>
      <c r="F869"/>
      <c r="G869"/>
      <c r="H869"/>
    </row>
    <row r="870" spans="1:8" ht="14.25" customHeight="1" x14ac:dyDescent="0.3">
      <c r="A870"/>
      <c r="B870"/>
      <c r="C870"/>
      <c r="D870"/>
      <c r="E870"/>
      <c r="F870"/>
      <c r="G870"/>
      <c r="H870"/>
    </row>
    <row r="871" spans="1:8" ht="14.25" customHeight="1" x14ac:dyDescent="0.3">
      <c r="A871"/>
      <c r="B871"/>
      <c r="C871"/>
      <c r="D871"/>
      <c r="E871"/>
      <c r="F871"/>
      <c r="G871"/>
      <c r="H871"/>
    </row>
    <row r="872" spans="1:8" ht="14.25" customHeight="1" x14ac:dyDescent="0.3">
      <c r="A872"/>
      <c r="B872"/>
      <c r="C872"/>
      <c r="D872"/>
      <c r="E872"/>
      <c r="F872"/>
      <c r="G872"/>
      <c r="H872"/>
    </row>
    <row r="873" spans="1:8" ht="14.25" customHeight="1" x14ac:dyDescent="0.3">
      <c r="A873"/>
      <c r="B873"/>
      <c r="C873"/>
      <c r="D873"/>
      <c r="E873"/>
      <c r="F873"/>
      <c r="G873"/>
      <c r="H873"/>
    </row>
    <row r="874" spans="1:8" ht="14.25" customHeight="1" x14ac:dyDescent="0.3">
      <c r="A874"/>
      <c r="B874"/>
      <c r="C874"/>
      <c r="D874"/>
      <c r="E874"/>
      <c r="F874"/>
      <c r="G874"/>
      <c r="H874"/>
    </row>
    <row r="875" spans="1:8" ht="14.25" customHeight="1" x14ac:dyDescent="0.3">
      <c r="A875"/>
      <c r="B875"/>
      <c r="C875"/>
      <c r="D875"/>
      <c r="E875"/>
      <c r="F875"/>
      <c r="G875"/>
      <c r="H875"/>
    </row>
    <row r="876" spans="1:8" ht="14.25" customHeight="1" x14ac:dyDescent="0.3">
      <c r="A876"/>
      <c r="B876"/>
      <c r="C876"/>
      <c r="D876"/>
      <c r="E876"/>
      <c r="F876"/>
      <c r="G876"/>
      <c r="H876"/>
    </row>
    <row r="877" spans="1:8" ht="14.25" customHeight="1" x14ac:dyDescent="0.3">
      <c r="A877"/>
      <c r="B877"/>
      <c r="C877"/>
      <c r="D877"/>
      <c r="E877"/>
      <c r="F877"/>
      <c r="G877"/>
      <c r="H877"/>
    </row>
    <row r="878" spans="1:8" ht="14.25" customHeight="1" x14ac:dyDescent="0.3">
      <c r="A878"/>
      <c r="B878"/>
      <c r="C878"/>
      <c r="D878"/>
      <c r="E878"/>
      <c r="F878"/>
      <c r="G878"/>
      <c r="H878"/>
    </row>
    <row r="879" spans="1:8" ht="14.25" customHeight="1" x14ac:dyDescent="0.3">
      <c r="A879"/>
      <c r="B879"/>
      <c r="C879"/>
      <c r="D879"/>
      <c r="E879"/>
      <c r="F879"/>
      <c r="G879"/>
      <c r="H879"/>
    </row>
    <row r="880" spans="1:8" ht="14.25" customHeight="1" x14ac:dyDescent="0.3">
      <c r="A880"/>
      <c r="B880"/>
      <c r="C880"/>
      <c r="D880"/>
      <c r="E880"/>
      <c r="F880"/>
      <c r="G880"/>
      <c r="H880"/>
    </row>
    <row r="881" spans="1:8" ht="14.25" customHeight="1" x14ac:dyDescent="0.3">
      <c r="A881"/>
      <c r="B881"/>
      <c r="C881"/>
      <c r="D881"/>
      <c r="E881"/>
      <c r="F881"/>
      <c r="G881"/>
      <c r="H881"/>
    </row>
    <row r="882" spans="1:8" ht="14.25" customHeight="1" x14ac:dyDescent="0.3">
      <c r="A882"/>
      <c r="B882"/>
      <c r="C882"/>
      <c r="D882"/>
      <c r="E882"/>
      <c r="F882"/>
      <c r="G882"/>
      <c r="H882"/>
    </row>
    <row r="883" spans="1:8" ht="14.25" customHeight="1" x14ac:dyDescent="0.3">
      <c r="A883"/>
      <c r="B883"/>
      <c r="C883"/>
      <c r="D883"/>
      <c r="E883"/>
      <c r="F883"/>
      <c r="G883"/>
      <c r="H883"/>
    </row>
    <row r="884" spans="1:8" ht="14.25" customHeight="1" x14ac:dyDescent="0.3">
      <c r="A884"/>
      <c r="B884"/>
      <c r="C884"/>
      <c r="D884"/>
      <c r="E884"/>
      <c r="F884"/>
      <c r="G884"/>
      <c r="H884"/>
    </row>
    <row r="885" spans="1:8" ht="14.25" customHeight="1" x14ac:dyDescent="0.3">
      <c r="A885"/>
      <c r="B885"/>
      <c r="C885"/>
      <c r="D885"/>
      <c r="E885"/>
      <c r="F885"/>
      <c r="G885"/>
      <c r="H885"/>
    </row>
    <row r="886" spans="1:8" ht="14.25" customHeight="1" x14ac:dyDescent="0.3">
      <c r="A886"/>
      <c r="B886"/>
      <c r="C886"/>
      <c r="D886"/>
      <c r="E886"/>
      <c r="F886"/>
      <c r="G886"/>
      <c r="H886"/>
    </row>
    <row r="887" spans="1:8" ht="14.25" customHeight="1" x14ac:dyDescent="0.3">
      <c r="A887"/>
      <c r="B887"/>
      <c r="C887"/>
      <c r="D887"/>
      <c r="E887"/>
      <c r="F887"/>
      <c r="G887"/>
      <c r="H887"/>
    </row>
    <row r="888" spans="1:8" ht="14.25" customHeight="1" x14ac:dyDescent="0.3">
      <c r="A888"/>
      <c r="B888"/>
      <c r="C888"/>
      <c r="D888"/>
      <c r="E888"/>
      <c r="F888"/>
      <c r="G888"/>
      <c r="H888"/>
    </row>
    <row r="889" spans="1:8" ht="14.25" customHeight="1" x14ac:dyDescent="0.3">
      <c r="A889"/>
      <c r="B889"/>
      <c r="C889"/>
      <c r="D889"/>
      <c r="E889"/>
      <c r="F889"/>
      <c r="G889"/>
      <c r="H889"/>
    </row>
    <row r="890" spans="1:8" ht="14.25" customHeight="1" x14ac:dyDescent="0.3">
      <c r="A890"/>
      <c r="B890"/>
      <c r="C890"/>
      <c r="D890"/>
      <c r="E890"/>
      <c r="F890"/>
      <c r="G890"/>
      <c r="H890"/>
    </row>
    <row r="891" spans="1:8" ht="14.25" customHeight="1" x14ac:dyDescent="0.3">
      <c r="A891"/>
      <c r="B891"/>
      <c r="C891"/>
      <c r="D891"/>
      <c r="E891"/>
      <c r="F891"/>
      <c r="G891"/>
      <c r="H891"/>
    </row>
    <row r="892" spans="1:8" ht="14.25" customHeight="1" x14ac:dyDescent="0.3">
      <c r="A892"/>
      <c r="B892"/>
      <c r="C892"/>
      <c r="D892"/>
      <c r="E892"/>
      <c r="F892"/>
      <c r="G892"/>
      <c r="H892"/>
    </row>
    <row r="893" spans="1:8" ht="14.25" customHeight="1" x14ac:dyDescent="0.3">
      <c r="A893"/>
      <c r="B893"/>
      <c r="C893"/>
      <c r="D893"/>
      <c r="E893"/>
      <c r="F893"/>
      <c r="G893"/>
      <c r="H893"/>
    </row>
    <row r="894" spans="1:8" ht="14.25" customHeight="1" x14ac:dyDescent="0.3">
      <c r="A894"/>
      <c r="B894"/>
      <c r="C894"/>
      <c r="D894"/>
      <c r="E894"/>
      <c r="F894"/>
      <c r="G894"/>
      <c r="H894"/>
    </row>
    <row r="895" spans="1:8" ht="14.25" customHeight="1" x14ac:dyDescent="0.3">
      <c r="A895"/>
      <c r="B895"/>
      <c r="C895"/>
      <c r="D895"/>
      <c r="E895"/>
      <c r="F895"/>
      <c r="G895"/>
      <c r="H895"/>
    </row>
    <row r="896" spans="1:8" ht="14.25" customHeight="1" x14ac:dyDescent="0.3">
      <c r="A896"/>
      <c r="B896"/>
      <c r="C896"/>
      <c r="D896"/>
      <c r="E896"/>
      <c r="F896"/>
      <c r="G896"/>
      <c r="H896"/>
    </row>
    <row r="897" spans="1:8" ht="14.25" customHeight="1" x14ac:dyDescent="0.3">
      <c r="A897"/>
      <c r="B897"/>
      <c r="C897"/>
      <c r="D897"/>
      <c r="E897"/>
      <c r="F897"/>
      <c r="G897"/>
      <c r="H897"/>
    </row>
    <row r="898" spans="1:8" ht="14.25" customHeight="1" x14ac:dyDescent="0.3">
      <c r="A898"/>
      <c r="B898"/>
      <c r="C898"/>
      <c r="D898"/>
      <c r="E898"/>
      <c r="F898"/>
      <c r="G898"/>
      <c r="H898"/>
    </row>
    <row r="899" spans="1:8" ht="14.25" customHeight="1" x14ac:dyDescent="0.3">
      <c r="A899"/>
      <c r="B899"/>
      <c r="C899"/>
      <c r="D899"/>
      <c r="E899"/>
      <c r="F899"/>
      <c r="G899"/>
      <c r="H899"/>
    </row>
    <row r="900" spans="1:8" ht="14.25" customHeight="1" x14ac:dyDescent="0.3">
      <c r="A900"/>
      <c r="B900"/>
      <c r="C900"/>
      <c r="D900"/>
      <c r="E900"/>
      <c r="F900"/>
      <c r="G900"/>
      <c r="H900"/>
    </row>
    <row r="901" spans="1:8" ht="14.25" customHeight="1" x14ac:dyDescent="0.3">
      <c r="A901"/>
      <c r="B901"/>
      <c r="C901"/>
      <c r="D901"/>
      <c r="E901"/>
      <c r="F901"/>
      <c r="G901"/>
      <c r="H901"/>
    </row>
    <row r="902" spans="1:8" ht="14.25" customHeight="1" x14ac:dyDescent="0.3">
      <c r="A902"/>
      <c r="B902"/>
      <c r="C902"/>
      <c r="D902"/>
      <c r="E902"/>
      <c r="F902"/>
      <c r="G902"/>
      <c r="H902"/>
    </row>
    <row r="903" spans="1:8" ht="14.25" customHeight="1" x14ac:dyDescent="0.3">
      <c r="A903"/>
      <c r="B903"/>
      <c r="C903"/>
      <c r="D903"/>
      <c r="E903"/>
      <c r="F903"/>
      <c r="G903"/>
      <c r="H903"/>
    </row>
    <row r="904" spans="1:8" ht="14.25" customHeight="1" x14ac:dyDescent="0.3">
      <c r="A904"/>
      <c r="B904"/>
      <c r="C904"/>
      <c r="D904"/>
      <c r="E904"/>
      <c r="F904"/>
      <c r="G904"/>
      <c r="H904"/>
    </row>
    <row r="905" spans="1:8" ht="14.25" customHeight="1" x14ac:dyDescent="0.3">
      <c r="A905"/>
      <c r="B905"/>
      <c r="C905"/>
      <c r="D905"/>
      <c r="E905"/>
      <c r="F905"/>
      <c r="G905"/>
      <c r="H905"/>
    </row>
    <row r="906" spans="1:8" ht="14.25" customHeight="1" x14ac:dyDescent="0.3">
      <c r="A906"/>
      <c r="B906"/>
      <c r="C906"/>
      <c r="D906"/>
      <c r="E906"/>
      <c r="F906"/>
      <c r="G906"/>
      <c r="H906"/>
    </row>
    <row r="907" spans="1:8" ht="14.25" customHeight="1" x14ac:dyDescent="0.3">
      <c r="A907"/>
      <c r="B907"/>
      <c r="C907"/>
      <c r="D907"/>
      <c r="E907"/>
      <c r="F907"/>
      <c r="G907"/>
      <c r="H907"/>
    </row>
    <row r="908" spans="1:8" ht="14.25" customHeight="1" x14ac:dyDescent="0.3">
      <c r="A908"/>
      <c r="B908"/>
      <c r="C908"/>
      <c r="D908"/>
      <c r="E908"/>
      <c r="F908"/>
      <c r="G908"/>
      <c r="H908"/>
    </row>
    <row r="909" spans="1:8" ht="14.25" customHeight="1" x14ac:dyDescent="0.3">
      <c r="A909"/>
      <c r="B909"/>
      <c r="C909"/>
      <c r="D909"/>
      <c r="E909"/>
      <c r="F909"/>
      <c r="G909"/>
      <c r="H909"/>
    </row>
    <row r="910" spans="1:8" ht="14.25" customHeight="1" x14ac:dyDescent="0.3">
      <c r="A910"/>
      <c r="B910"/>
      <c r="C910"/>
      <c r="D910"/>
      <c r="E910"/>
      <c r="F910"/>
      <c r="G910"/>
      <c r="H910"/>
    </row>
    <row r="911" spans="1:8" ht="14.25" customHeight="1" x14ac:dyDescent="0.3">
      <c r="A911"/>
      <c r="B911"/>
      <c r="C911"/>
      <c r="D911"/>
      <c r="E911"/>
      <c r="F911"/>
      <c r="G911"/>
      <c r="H911"/>
    </row>
    <row r="912" spans="1:8" ht="14.25" customHeight="1" x14ac:dyDescent="0.3">
      <c r="A912"/>
      <c r="B912"/>
      <c r="C912"/>
      <c r="D912"/>
      <c r="E912"/>
      <c r="F912"/>
      <c r="G912"/>
      <c r="H912"/>
    </row>
    <row r="913" spans="1:8" ht="14.25" customHeight="1" x14ac:dyDescent="0.3">
      <c r="A913"/>
      <c r="B913"/>
      <c r="C913"/>
      <c r="D913"/>
      <c r="E913"/>
      <c r="F913"/>
      <c r="G913"/>
      <c r="H913"/>
    </row>
    <row r="914" spans="1:8" ht="14.25" customHeight="1" x14ac:dyDescent="0.3">
      <c r="A914"/>
      <c r="B914"/>
      <c r="C914"/>
      <c r="D914"/>
      <c r="E914"/>
      <c r="F914"/>
      <c r="G914"/>
      <c r="H914"/>
    </row>
    <row r="915" spans="1:8" ht="14.25" customHeight="1" x14ac:dyDescent="0.3">
      <c r="A915"/>
      <c r="B915"/>
      <c r="C915"/>
      <c r="D915"/>
      <c r="E915"/>
      <c r="F915"/>
      <c r="G915"/>
      <c r="H915"/>
    </row>
    <row r="916" spans="1:8" ht="14.25" customHeight="1" x14ac:dyDescent="0.3">
      <c r="A916"/>
      <c r="B916"/>
      <c r="C916"/>
      <c r="D916"/>
      <c r="E916"/>
      <c r="F916"/>
      <c r="G916"/>
      <c r="H916"/>
    </row>
    <row r="917" spans="1:8" ht="14.25" customHeight="1" x14ac:dyDescent="0.3">
      <c r="A917"/>
      <c r="B917"/>
      <c r="C917"/>
      <c r="D917"/>
      <c r="E917"/>
      <c r="F917"/>
      <c r="G917"/>
      <c r="H917"/>
    </row>
    <row r="918" spans="1:8" ht="14.25" customHeight="1" x14ac:dyDescent="0.3">
      <c r="A918"/>
      <c r="B918"/>
      <c r="C918"/>
      <c r="D918"/>
      <c r="E918"/>
      <c r="F918"/>
      <c r="G918"/>
      <c r="H918"/>
    </row>
    <row r="919" spans="1:8" ht="14.25" customHeight="1" x14ac:dyDescent="0.3">
      <c r="A919"/>
      <c r="B919"/>
      <c r="C919"/>
      <c r="D919"/>
      <c r="E919"/>
      <c r="F919"/>
      <c r="G919"/>
      <c r="H919"/>
    </row>
    <row r="920" spans="1:8" ht="14.25" customHeight="1" x14ac:dyDescent="0.3">
      <c r="A920"/>
      <c r="B920"/>
      <c r="C920"/>
      <c r="D920"/>
      <c r="E920"/>
      <c r="F920"/>
      <c r="G920"/>
      <c r="H920"/>
    </row>
    <row r="921" spans="1:8" ht="14.25" customHeight="1" x14ac:dyDescent="0.3">
      <c r="A921"/>
      <c r="B921"/>
      <c r="C921"/>
      <c r="D921"/>
      <c r="E921"/>
      <c r="F921"/>
      <c r="G921"/>
      <c r="H921"/>
    </row>
    <row r="922" spans="1:8" ht="14.25" customHeight="1" x14ac:dyDescent="0.3">
      <c r="A922"/>
      <c r="B922"/>
      <c r="C922"/>
      <c r="D922"/>
      <c r="E922"/>
      <c r="F922"/>
      <c r="G922"/>
      <c r="H922"/>
    </row>
    <row r="923" spans="1:8" ht="14.25" customHeight="1" x14ac:dyDescent="0.3">
      <c r="A923"/>
      <c r="B923"/>
      <c r="C923"/>
      <c r="D923"/>
      <c r="E923"/>
      <c r="F923"/>
      <c r="G923"/>
      <c r="H923"/>
    </row>
    <row r="924" spans="1:8" ht="14.25" customHeight="1" x14ac:dyDescent="0.3">
      <c r="A924"/>
      <c r="B924"/>
      <c r="C924"/>
      <c r="D924"/>
      <c r="E924"/>
      <c r="F924"/>
      <c r="G924"/>
      <c r="H924"/>
    </row>
    <row r="925" spans="1:8" ht="14.25" customHeight="1" x14ac:dyDescent="0.3">
      <c r="A925"/>
      <c r="B925"/>
      <c r="C925"/>
      <c r="D925"/>
      <c r="E925"/>
      <c r="F925"/>
      <c r="G925"/>
      <c r="H925"/>
    </row>
    <row r="926" spans="1:8" ht="14.25" customHeight="1" x14ac:dyDescent="0.3">
      <c r="A926"/>
      <c r="B926"/>
      <c r="C926"/>
      <c r="D926"/>
      <c r="E926"/>
      <c r="F926"/>
      <c r="G926"/>
      <c r="H926"/>
    </row>
    <row r="927" spans="1:8" ht="14.25" customHeight="1" x14ac:dyDescent="0.3">
      <c r="A927"/>
      <c r="B927"/>
      <c r="C927"/>
      <c r="D927"/>
      <c r="E927"/>
      <c r="F927"/>
      <c r="G927"/>
      <c r="H927"/>
    </row>
    <row r="928" spans="1:8" ht="14.25" customHeight="1" x14ac:dyDescent="0.3">
      <c r="A928"/>
      <c r="B928"/>
      <c r="C928"/>
      <c r="D928"/>
      <c r="E928"/>
      <c r="F928"/>
      <c r="G928"/>
      <c r="H928"/>
    </row>
    <row r="929" spans="1:8" ht="14.25" customHeight="1" x14ac:dyDescent="0.3">
      <c r="A929"/>
      <c r="B929"/>
      <c r="C929"/>
      <c r="D929"/>
      <c r="E929"/>
      <c r="F929"/>
      <c r="G929"/>
      <c r="H929"/>
    </row>
    <row r="930" spans="1:8" ht="14.25" customHeight="1" x14ac:dyDescent="0.3">
      <c r="A930"/>
      <c r="B930"/>
      <c r="C930"/>
      <c r="D930"/>
      <c r="E930"/>
      <c r="F930"/>
      <c r="G930"/>
      <c r="H930"/>
    </row>
    <row r="931" spans="1:8" ht="14.25" customHeight="1" x14ac:dyDescent="0.3">
      <c r="A931"/>
      <c r="B931"/>
      <c r="C931"/>
      <c r="D931"/>
      <c r="E931"/>
      <c r="F931"/>
      <c r="G931"/>
      <c r="H931"/>
    </row>
    <row r="932" spans="1:8" ht="14.25" customHeight="1" x14ac:dyDescent="0.3">
      <c r="A932"/>
      <c r="B932"/>
      <c r="C932"/>
      <c r="D932"/>
      <c r="E932"/>
      <c r="F932"/>
      <c r="G932"/>
      <c r="H932"/>
    </row>
    <row r="933" spans="1:8" ht="14.25" customHeight="1" x14ac:dyDescent="0.3">
      <c r="A933"/>
      <c r="B933"/>
      <c r="C933"/>
      <c r="D933"/>
      <c r="E933"/>
      <c r="F933"/>
      <c r="G933"/>
      <c r="H933"/>
    </row>
    <row r="934" spans="1:8" ht="14.25" customHeight="1" x14ac:dyDescent="0.3">
      <c r="A934"/>
      <c r="B934"/>
      <c r="C934"/>
      <c r="D934"/>
      <c r="E934"/>
      <c r="F934"/>
      <c r="G934"/>
      <c r="H934"/>
    </row>
    <row r="935" spans="1:8" ht="14.25" customHeight="1" x14ac:dyDescent="0.3">
      <c r="A935"/>
      <c r="B935"/>
      <c r="C935"/>
      <c r="D935"/>
      <c r="E935"/>
      <c r="F935"/>
      <c r="G935"/>
      <c r="H935"/>
    </row>
    <row r="936" spans="1:8" ht="14.25" customHeight="1" x14ac:dyDescent="0.3">
      <c r="A936"/>
      <c r="B936"/>
      <c r="C936"/>
      <c r="D936"/>
      <c r="E936"/>
      <c r="F936"/>
      <c r="G936"/>
      <c r="H936"/>
    </row>
    <row r="937" spans="1:8" ht="14.25" customHeight="1" x14ac:dyDescent="0.3">
      <c r="A937"/>
      <c r="B937"/>
      <c r="C937"/>
      <c r="D937"/>
      <c r="E937"/>
      <c r="F937"/>
      <c r="G937"/>
      <c r="H937"/>
    </row>
    <row r="938" spans="1:8" ht="14.25" customHeight="1" x14ac:dyDescent="0.3">
      <c r="A938"/>
      <c r="B938"/>
      <c r="C938"/>
      <c r="D938"/>
      <c r="E938"/>
      <c r="F938"/>
      <c r="G938"/>
      <c r="H938"/>
    </row>
    <row r="939" spans="1:8" ht="14.25" customHeight="1" x14ac:dyDescent="0.3">
      <c r="A939"/>
      <c r="B939"/>
      <c r="C939"/>
      <c r="D939"/>
      <c r="E939"/>
      <c r="F939"/>
      <c r="G939"/>
      <c r="H939"/>
    </row>
    <row r="940" spans="1:8" ht="14.25" customHeight="1" x14ac:dyDescent="0.3">
      <c r="A940"/>
      <c r="B940"/>
      <c r="C940"/>
      <c r="D940"/>
      <c r="E940"/>
      <c r="F940"/>
      <c r="G940"/>
      <c r="H940"/>
    </row>
    <row r="941" spans="1:8" ht="14.25" customHeight="1" x14ac:dyDescent="0.3">
      <c r="A941"/>
      <c r="B941"/>
      <c r="C941"/>
      <c r="D941"/>
      <c r="E941"/>
      <c r="F941"/>
      <c r="G941"/>
      <c r="H941"/>
    </row>
    <row r="942" spans="1:8" ht="14.25" customHeight="1" x14ac:dyDescent="0.3">
      <c r="A942"/>
      <c r="B942"/>
      <c r="C942"/>
      <c r="D942"/>
      <c r="E942"/>
      <c r="F942"/>
      <c r="G942"/>
      <c r="H942"/>
    </row>
    <row r="943" spans="1:8" ht="14.25" customHeight="1" x14ac:dyDescent="0.3">
      <c r="A943"/>
      <c r="B943"/>
      <c r="C943"/>
      <c r="D943"/>
      <c r="E943"/>
      <c r="F943"/>
      <c r="G943"/>
      <c r="H943"/>
    </row>
    <row r="944" spans="1:8" ht="14.25" customHeight="1" x14ac:dyDescent="0.3">
      <c r="A944"/>
      <c r="B944"/>
      <c r="C944"/>
      <c r="D944"/>
      <c r="E944"/>
      <c r="F944"/>
      <c r="G944"/>
      <c r="H944"/>
    </row>
    <row r="945" spans="1:8" ht="14.25" customHeight="1" x14ac:dyDescent="0.3">
      <c r="A945"/>
      <c r="B945"/>
      <c r="C945"/>
      <c r="D945"/>
      <c r="E945"/>
      <c r="F945"/>
      <c r="G945"/>
      <c r="H945"/>
    </row>
    <row r="946" spans="1:8" ht="14.25" customHeight="1" x14ac:dyDescent="0.3">
      <c r="A946"/>
      <c r="B946"/>
      <c r="C946"/>
      <c r="D946"/>
      <c r="E946"/>
      <c r="F946"/>
      <c r="G946"/>
      <c r="H946"/>
    </row>
    <row r="947" spans="1:8" ht="14.25" customHeight="1" x14ac:dyDescent="0.3">
      <c r="A947"/>
      <c r="B947"/>
      <c r="C947"/>
      <c r="D947"/>
      <c r="E947"/>
      <c r="F947"/>
      <c r="G947"/>
      <c r="H947"/>
    </row>
    <row r="948" spans="1:8" ht="14.25" customHeight="1" x14ac:dyDescent="0.3">
      <c r="A948"/>
      <c r="B948"/>
      <c r="C948"/>
      <c r="D948"/>
      <c r="E948"/>
      <c r="F948"/>
      <c r="G948"/>
      <c r="H948"/>
    </row>
    <row r="949" spans="1:8" ht="14.25" customHeight="1" x14ac:dyDescent="0.3">
      <c r="A949"/>
      <c r="B949"/>
      <c r="C949"/>
      <c r="D949"/>
      <c r="E949"/>
      <c r="F949"/>
      <c r="G949"/>
      <c r="H949"/>
    </row>
    <row r="950" spans="1:8" ht="14.25" customHeight="1" x14ac:dyDescent="0.3">
      <c r="A950"/>
      <c r="B950"/>
      <c r="C950"/>
      <c r="D950"/>
      <c r="E950"/>
      <c r="F950"/>
      <c r="G950"/>
      <c r="H950"/>
    </row>
    <row r="951" spans="1:8" ht="14.25" customHeight="1" x14ac:dyDescent="0.3">
      <c r="A951"/>
      <c r="B951"/>
      <c r="C951"/>
      <c r="D951"/>
      <c r="E951"/>
      <c r="F951"/>
      <c r="G951"/>
      <c r="H951"/>
    </row>
    <row r="952" spans="1:8" ht="14.25" customHeight="1" x14ac:dyDescent="0.3">
      <c r="A952"/>
      <c r="B952"/>
      <c r="C952"/>
      <c r="D952"/>
      <c r="E952"/>
      <c r="F952"/>
      <c r="G952"/>
      <c r="H952"/>
    </row>
    <row r="953" spans="1:8" ht="14.25" customHeight="1" x14ac:dyDescent="0.3">
      <c r="A953"/>
      <c r="B953"/>
      <c r="C953"/>
      <c r="D953"/>
      <c r="E953"/>
      <c r="F953"/>
      <c r="G953"/>
      <c r="H953"/>
    </row>
    <row r="954" spans="1:8" ht="14.25" customHeight="1" x14ac:dyDescent="0.3">
      <c r="A954"/>
      <c r="B954"/>
      <c r="C954"/>
      <c r="D954"/>
      <c r="E954"/>
      <c r="F954"/>
      <c r="G954"/>
      <c r="H954"/>
    </row>
    <row r="955" spans="1:8" ht="14.25" customHeight="1" x14ac:dyDescent="0.3">
      <c r="A955"/>
      <c r="B955"/>
      <c r="C955"/>
      <c r="D955"/>
      <c r="E955"/>
      <c r="F955"/>
      <c r="G955"/>
      <c r="H955"/>
    </row>
    <row r="956" spans="1:8" ht="14.25" customHeight="1" x14ac:dyDescent="0.3">
      <c r="A956"/>
      <c r="B956"/>
      <c r="C956"/>
      <c r="D956"/>
      <c r="E956"/>
      <c r="F956"/>
      <c r="G956"/>
      <c r="H956"/>
    </row>
    <row r="957" spans="1:8" ht="14.25" customHeight="1" x14ac:dyDescent="0.3">
      <c r="A957"/>
      <c r="B957"/>
      <c r="C957"/>
      <c r="D957"/>
      <c r="E957"/>
      <c r="F957"/>
      <c r="G957"/>
      <c r="H957"/>
    </row>
    <row r="958" spans="1:8" ht="14.25" customHeight="1" x14ac:dyDescent="0.3">
      <c r="A958"/>
      <c r="B958"/>
      <c r="C958"/>
      <c r="D958"/>
      <c r="E958"/>
      <c r="F958"/>
      <c r="G958"/>
      <c r="H958"/>
    </row>
    <row r="959" spans="1:8" ht="14.25" customHeight="1" x14ac:dyDescent="0.3">
      <c r="A959"/>
      <c r="B959"/>
      <c r="C959"/>
      <c r="D959"/>
      <c r="E959"/>
      <c r="F959"/>
      <c r="G959"/>
      <c r="H959"/>
    </row>
    <row r="960" spans="1:8" ht="14.25" customHeight="1" x14ac:dyDescent="0.3">
      <c r="A960"/>
      <c r="B960"/>
      <c r="C960"/>
      <c r="D960"/>
      <c r="E960"/>
      <c r="F960"/>
      <c r="G960"/>
      <c r="H960"/>
    </row>
    <row r="961" spans="1:8" ht="14.25" customHeight="1" x14ac:dyDescent="0.3">
      <c r="A961"/>
      <c r="B961"/>
      <c r="C961"/>
      <c r="D961"/>
      <c r="E961"/>
      <c r="F961"/>
      <c r="G961"/>
      <c r="H961"/>
    </row>
    <row r="962" spans="1:8" ht="14.25" customHeight="1" x14ac:dyDescent="0.3">
      <c r="A962"/>
      <c r="B962"/>
      <c r="C962"/>
      <c r="D962"/>
      <c r="E962"/>
      <c r="F962"/>
      <c r="G962"/>
      <c r="H962"/>
    </row>
    <row r="963" spans="1:8" ht="14.25" customHeight="1" x14ac:dyDescent="0.3">
      <c r="A963"/>
      <c r="B963"/>
      <c r="C963"/>
      <c r="D963"/>
      <c r="E963"/>
      <c r="F963"/>
      <c r="G963"/>
      <c r="H963"/>
    </row>
    <row r="964" spans="1:8" ht="14.25" customHeight="1" x14ac:dyDescent="0.3">
      <c r="A964"/>
      <c r="B964"/>
      <c r="C964"/>
      <c r="D964"/>
      <c r="E964"/>
      <c r="F964"/>
      <c r="G964"/>
      <c r="H964"/>
    </row>
    <row r="965" spans="1:8" ht="14.25" customHeight="1" x14ac:dyDescent="0.3">
      <c r="A965"/>
      <c r="B965"/>
      <c r="C965"/>
      <c r="D965"/>
      <c r="E965"/>
      <c r="F965"/>
      <c r="G965"/>
      <c r="H965"/>
    </row>
    <row r="966" spans="1:8" ht="14.25" customHeight="1" x14ac:dyDescent="0.3">
      <c r="A966"/>
      <c r="B966"/>
      <c r="C966"/>
      <c r="D966"/>
      <c r="E966"/>
      <c r="F966"/>
      <c r="G966"/>
      <c r="H966"/>
    </row>
    <row r="967" spans="1:8" ht="14.25" customHeight="1" x14ac:dyDescent="0.3">
      <c r="A967"/>
      <c r="B967"/>
      <c r="C967"/>
      <c r="D967"/>
      <c r="E967"/>
      <c r="F967"/>
      <c r="G967"/>
      <c r="H967"/>
    </row>
    <row r="968" spans="1:8" ht="14.25" customHeight="1" x14ac:dyDescent="0.3">
      <c r="A968"/>
      <c r="B968"/>
      <c r="C968"/>
      <c r="D968"/>
      <c r="E968"/>
      <c r="F968"/>
      <c r="G968"/>
      <c r="H968"/>
    </row>
    <row r="969" spans="1:8" ht="14.25" customHeight="1" x14ac:dyDescent="0.3">
      <c r="A969"/>
      <c r="B969"/>
      <c r="C969"/>
      <c r="D969"/>
      <c r="E969"/>
      <c r="F969"/>
      <c r="G969"/>
      <c r="H969"/>
    </row>
    <row r="970" spans="1:8" ht="14.25" customHeight="1" x14ac:dyDescent="0.3">
      <c r="A970"/>
      <c r="B970"/>
      <c r="C970"/>
      <c r="D970"/>
      <c r="E970"/>
      <c r="F970"/>
      <c r="G970"/>
      <c r="H970"/>
    </row>
    <row r="971" spans="1:8" ht="14.25" customHeight="1" x14ac:dyDescent="0.3">
      <c r="A971"/>
      <c r="B971"/>
      <c r="C971"/>
      <c r="D971"/>
      <c r="E971"/>
      <c r="F971"/>
      <c r="G971"/>
      <c r="H971"/>
    </row>
    <row r="972" spans="1:8" ht="14.25" customHeight="1" x14ac:dyDescent="0.3">
      <c r="A972"/>
      <c r="B972"/>
      <c r="C972"/>
      <c r="D972"/>
      <c r="E972"/>
      <c r="F972"/>
      <c r="G972"/>
      <c r="H972"/>
    </row>
    <row r="973" spans="1:8" ht="14.25" customHeight="1" x14ac:dyDescent="0.3">
      <c r="A973"/>
      <c r="B973"/>
      <c r="C973"/>
      <c r="D973"/>
      <c r="E973"/>
      <c r="F973"/>
      <c r="G973"/>
      <c r="H973"/>
    </row>
    <row r="974" spans="1:8" ht="14.25" customHeight="1" x14ac:dyDescent="0.3">
      <c r="A974"/>
      <c r="B974"/>
      <c r="C974"/>
      <c r="D974"/>
      <c r="E974"/>
      <c r="F974"/>
      <c r="G974"/>
      <c r="H974"/>
    </row>
    <row r="975" spans="1:8" ht="14.25" customHeight="1" x14ac:dyDescent="0.3">
      <c r="A975"/>
      <c r="B975"/>
      <c r="C975"/>
      <c r="D975"/>
      <c r="E975"/>
      <c r="F975"/>
      <c r="G975"/>
      <c r="H975"/>
    </row>
    <row r="976" spans="1:8" ht="14.25" customHeight="1" x14ac:dyDescent="0.3">
      <c r="A976"/>
      <c r="B976"/>
      <c r="C976"/>
      <c r="D976"/>
      <c r="E976"/>
      <c r="F976"/>
      <c r="G976"/>
      <c r="H976"/>
    </row>
    <row r="977" spans="1:8" ht="14.25" customHeight="1" x14ac:dyDescent="0.3">
      <c r="A977"/>
      <c r="B977"/>
      <c r="C977"/>
      <c r="D977"/>
      <c r="E977"/>
      <c r="F977"/>
      <c r="G977"/>
      <c r="H977"/>
    </row>
    <row r="978" spans="1:8" ht="14.25" customHeight="1" x14ac:dyDescent="0.3">
      <c r="A978"/>
      <c r="B978"/>
      <c r="C978"/>
      <c r="D978"/>
      <c r="E978"/>
      <c r="F978"/>
      <c r="G978"/>
      <c r="H978"/>
    </row>
    <row r="979" spans="1:8" ht="14.25" customHeight="1" x14ac:dyDescent="0.3">
      <c r="A979"/>
      <c r="B979"/>
      <c r="C979"/>
      <c r="D979"/>
      <c r="E979"/>
      <c r="F979"/>
      <c r="G979"/>
      <c r="H979"/>
    </row>
    <row r="980" spans="1:8" ht="14.25" customHeight="1" x14ac:dyDescent="0.3">
      <c r="A980"/>
      <c r="B980"/>
      <c r="C980"/>
      <c r="D980"/>
      <c r="E980"/>
      <c r="F980"/>
      <c r="G980"/>
      <c r="H980"/>
    </row>
    <row r="981" spans="1:8" ht="14.25" customHeight="1" x14ac:dyDescent="0.3">
      <c r="A981"/>
      <c r="B981"/>
      <c r="C981"/>
      <c r="D981"/>
      <c r="E981"/>
      <c r="F981"/>
      <c r="G981"/>
      <c r="H981"/>
    </row>
    <row r="982" spans="1:8" ht="14.25" customHeight="1" x14ac:dyDescent="0.3">
      <c r="A982"/>
      <c r="B982"/>
      <c r="C982"/>
      <c r="D982"/>
      <c r="E982"/>
      <c r="F982"/>
      <c r="G982"/>
      <c r="H982"/>
    </row>
    <row r="983" spans="1:8" ht="14.25" customHeight="1" x14ac:dyDescent="0.3">
      <c r="A983"/>
      <c r="B983"/>
      <c r="C983"/>
      <c r="D983"/>
      <c r="E983"/>
      <c r="F983"/>
      <c r="G983"/>
      <c r="H983"/>
    </row>
    <row r="984" spans="1:8" ht="14.25" customHeight="1" x14ac:dyDescent="0.3">
      <c r="A984"/>
      <c r="B984"/>
      <c r="C984"/>
      <c r="D984"/>
      <c r="E984"/>
      <c r="F984"/>
      <c r="G984"/>
      <c r="H984"/>
    </row>
    <row r="985" spans="1:8" ht="14.25" customHeight="1" x14ac:dyDescent="0.3">
      <c r="A985"/>
      <c r="B985"/>
      <c r="C985"/>
      <c r="D985"/>
      <c r="E985"/>
      <c r="F985"/>
      <c r="G985"/>
      <c r="H985"/>
    </row>
    <row r="986" spans="1:8" ht="14.25" customHeight="1" x14ac:dyDescent="0.3">
      <c r="A986"/>
      <c r="B986"/>
      <c r="C986"/>
      <c r="D986"/>
      <c r="E986"/>
      <c r="F986"/>
      <c r="G986"/>
      <c r="H986"/>
    </row>
    <row r="987" spans="1:8" ht="14.25" customHeight="1" x14ac:dyDescent="0.3">
      <c r="A987"/>
      <c r="B987"/>
      <c r="C987"/>
      <c r="D987"/>
      <c r="E987"/>
      <c r="F987"/>
      <c r="G987"/>
      <c r="H987"/>
    </row>
    <row r="988" spans="1:8" ht="14.25" customHeight="1" x14ac:dyDescent="0.3">
      <c r="A988"/>
      <c r="B988"/>
      <c r="C988"/>
      <c r="D988"/>
      <c r="E988"/>
      <c r="F988"/>
      <c r="G988"/>
      <c r="H988"/>
    </row>
    <row r="989" spans="1:8" ht="14.25" customHeight="1" x14ac:dyDescent="0.3">
      <c r="A989"/>
      <c r="B989"/>
      <c r="C989"/>
      <c r="D989"/>
      <c r="E989"/>
      <c r="F989"/>
      <c r="G989"/>
      <c r="H989"/>
    </row>
    <row r="990" spans="1:8" ht="14.25" customHeight="1" x14ac:dyDescent="0.3">
      <c r="A990"/>
      <c r="B990"/>
      <c r="C990"/>
      <c r="D990"/>
      <c r="E990"/>
      <c r="F990"/>
      <c r="G990"/>
      <c r="H990"/>
    </row>
    <row r="991" spans="1:8" ht="14.25" customHeight="1" x14ac:dyDescent="0.3">
      <c r="A991"/>
      <c r="B991"/>
      <c r="C991"/>
      <c r="D991"/>
      <c r="E991"/>
      <c r="F991"/>
      <c r="G991"/>
      <c r="H991"/>
    </row>
    <row r="992" spans="1:8" ht="14.25" customHeight="1" x14ac:dyDescent="0.3">
      <c r="A992"/>
      <c r="B992"/>
      <c r="C992"/>
      <c r="D992"/>
      <c r="E992"/>
      <c r="F992"/>
      <c r="G992"/>
      <c r="H992"/>
    </row>
    <row r="993" spans="1:8" ht="14.25" customHeight="1" x14ac:dyDescent="0.3">
      <c r="A993"/>
      <c r="B993"/>
      <c r="C993"/>
      <c r="D993"/>
      <c r="E993"/>
      <c r="F993"/>
      <c r="G993"/>
      <c r="H993"/>
    </row>
    <row r="994" spans="1:8" ht="14.25" customHeight="1" x14ac:dyDescent="0.3">
      <c r="A994"/>
      <c r="B994"/>
      <c r="C994"/>
      <c r="D994"/>
      <c r="E994"/>
      <c r="F994"/>
      <c r="G994"/>
      <c r="H994"/>
    </row>
    <row r="995" spans="1:8" ht="14.25" customHeight="1" x14ac:dyDescent="0.3">
      <c r="A995"/>
      <c r="B995"/>
      <c r="C995"/>
      <c r="D995"/>
      <c r="E995"/>
      <c r="F995"/>
      <c r="G995"/>
      <c r="H995"/>
    </row>
    <row r="996" spans="1:8" ht="14.25" customHeight="1" x14ac:dyDescent="0.3">
      <c r="A996"/>
      <c r="B996"/>
      <c r="C996"/>
      <c r="D996"/>
      <c r="E996"/>
      <c r="F996"/>
      <c r="G996"/>
      <c r="H996"/>
    </row>
    <row r="997" spans="1:8" ht="14.25" customHeight="1" x14ac:dyDescent="0.3">
      <c r="A997"/>
      <c r="B997"/>
      <c r="C997"/>
      <c r="D997"/>
      <c r="E997"/>
      <c r="F997"/>
      <c r="G997"/>
      <c r="H997"/>
    </row>
    <row r="998" spans="1:8" ht="14.25" customHeight="1" x14ac:dyDescent="0.3">
      <c r="A998"/>
      <c r="B998"/>
      <c r="C998"/>
      <c r="D998"/>
      <c r="E998"/>
      <c r="F998"/>
      <c r="G998"/>
      <c r="H998"/>
    </row>
    <row r="999" spans="1:8" ht="14.25" customHeight="1" x14ac:dyDescent="0.3">
      <c r="A999"/>
      <c r="B999"/>
      <c r="C999"/>
      <c r="D999"/>
      <c r="E999"/>
      <c r="F999"/>
      <c r="G999"/>
      <c r="H999"/>
    </row>
    <row r="1000" spans="1:8" ht="14.25" customHeight="1" x14ac:dyDescent="0.3">
      <c r="A1000"/>
      <c r="B1000"/>
      <c r="C1000"/>
      <c r="D1000"/>
      <c r="E1000"/>
      <c r="F1000"/>
      <c r="G1000"/>
      <c r="H100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F877-2DF3-47DB-9C5F-A1DBAB4A398D}">
  <dimension ref="A1:G6"/>
  <sheetViews>
    <sheetView workbookViewId="0">
      <selection activeCell="C17" sqref="C17"/>
    </sheetView>
  </sheetViews>
  <sheetFormatPr defaultRowHeight="14.4" x14ac:dyDescent="0.3"/>
  <cols>
    <col min="1" max="1" width="29.21875" style="23" customWidth="1"/>
    <col min="2" max="2" width="20.6640625" style="23" customWidth="1"/>
    <col min="3" max="3" width="15.5546875" style="23" customWidth="1"/>
    <col min="4" max="4" width="30.6640625" style="23" customWidth="1"/>
    <col min="5" max="5" width="16.109375" style="23" customWidth="1"/>
    <col min="6" max="6" width="15.77734375" style="23" customWidth="1"/>
    <col min="7" max="7" width="22" style="23" customWidth="1"/>
    <col min="8" max="16384" width="8.88671875" style="23"/>
  </cols>
  <sheetData>
    <row r="1" spans="1:7" x14ac:dyDescent="0.3">
      <c r="A1" s="36" t="s">
        <v>560</v>
      </c>
      <c r="B1" s="36" t="s">
        <v>561</v>
      </c>
      <c r="C1" s="36" t="s">
        <v>562</v>
      </c>
      <c r="D1" s="36" t="s">
        <v>563</v>
      </c>
      <c r="E1" s="39" t="s">
        <v>531</v>
      </c>
      <c r="F1" s="39" t="s">
        <v>11</v>
      </c>
      <c r="G1" s="36" t="s">
        <v>564</v>
      </c>
    </row>
    <row r="2" spans="1:7" x14ac:dyDescent="0.3">
      <c r="A2" s="41" t="s">
        <v>37</v>
      </c>
      <c r="B2" s="57" t="s">
        <v>565</v>
      </c>
      <c r="C2" s="57" t="s">
        <v>275</v>
      </c>
      <c r="D2" s="41" t="s">
        <v>566</v>
      </c>
      <c r="E2" s="44">
        <v>85000</v>
      </c>
      <c r="F2" s="44">
        <v>950000</v>
      </c>
      <c r="G2" s="41">
        <v>0.45</v>
      </c>
    </row>
    <row r="3" spans="1:7" x14ac:dyDescent="0.3">
      <c r="A3" s="41" t="s">
        <v>63</v>
      </c>
      <c r="B3" s="57" t="s">
        <v>567</v>
      </c>
      <c r="C3" s="57" t="s">
        <v>568</v>
      </c>
      <c r="D3" s="41" t="s">
        <v>569</v>
      </c>
      <c r="E3" s="44">
        <v>60000</v>
      </c>
      <c r="F3" s="44">
        <v>780000</v>
      </c>
      <c r="G3" s="41">
        <v>0.38</v>
      </c>
    </row>
    <row r="4" spans="1:7" x14ac:dyDescent="0.3">
      <c r="A4" s="41" t="s">
        <v>19</v>
      </c>
      <c r="B4" s="57" t="s">
        <v>570</v>
      </c>
      <c r="C4" s="57" t="s">
        <v>258</v>
      </c>
      <c r="D4" s="41" t="s">
        <v>571</v>
      </c>
      <c r="E4" s="44">
        <v>55000</v>
      </c>
      <c r="F4" s="44">
        <v>700000</v>
      </c>
      <c r="G4" s="41">
        <v>0.41</v>
      </c>
    </row>
    <row r="5" spans="1:7" x14ac:dyDescent="0.3">
      <c r="A5" s="41" t="s">
        <v>31</v>
      </c>
      <c r="B5" s="57" t="s">
        <v>572</v>
      </c>
      <c r="C5" s="57" t="s">
        <v>547</v>
      </c>
      <c r="D5" s="41" t="s">
        <v>573</v>
      </c>
      <c r="E5" s="44">
        <v>40000</v>
      </c>
      <c r="F5" s="44">
        <v>550000</v>
      </c>
      <c r="G5" s="41">
        <v>0.32</v>
      </c>
    </row>
    <row r="6" spans="1:7" x14ac:dyDescent="0.3">
      <c r="A6" s="41" t="s">
        <v>24</v>
      </c>
      <c r="B6" s="58">
        <v>45901</v>
      </c>
      <c r="C6" s="58">
        <v>45930</v>
      </c>
      <c r="D6" s="41" t="s">
        <v>574</v>
      </c>
      <c r="E6" s="44">
        <v>75000</v>
      </c>
      <c r="F6" s="44">
        <v>880000</v>
      </c>
      <c r="G6" s="41">
        <v>0.47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A594-C78B-4735-8DA1-854E1B235FDB}">
  <dimension ref="A1:N602"/>
  <sheetViews>
    <sheetView topLeftCell="A171" zoomScale="33" workbookViewId="0"/>
  </sheetViews>
  <sheetFormatPr defaultRowHeight="14.4" x14ac:dyDescent="0.3"/>
  <cols>
    <col min="1" max="1" width="14" style="22" customWidth="1"/>
    <col min="2" max="2" width="13.77734375" style="22" customWidth="1"/>
    <col min="3" max="3" width="17.88671875" style="22" customWidth="1"/>
    <col min="4" max="4" width="17.21875" style="22" customWidth="1"/>
    <col min="5" max="5" width="31.77734375" style="22" customWidth="1"/>
    <col min="6" max="6" width="26.33203125" style="22" customWidth="1"/>
    <col min="7" max="7" width="15" style="22" customWidth="1"/>
    <col min="8" max="8" width="18.109375" style="22" customWidth="1"/>
    <col min="9" max="9" width="25.5546875" style="22" customWidth="1"/>
    <col min="10" max="10" width="14.6640625" style="22" customWidth="1"/>
    <col min="11" max="11" width="14" style="22" customWidth="1"/>
    <col min="12" max="12" width="16.6640625" style="22" customWidth="1"/>
    <col min="13" max="13" width="30.88671875" style="22" customWidth="1"/>
    <col min="14" max="14" width="28" style="22" customWidth="1"/>
    <col min="15" max="16384" width="8.88671875" style="22"/>
  </cols>
  <sheetData>
    <row r="1" spans="1:14" x14ac:dyDescent="0.3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4" t="s">
        <v>5</v>
      </c>
      <c r="G1" s="17" t="s">
        <v>6</v>
      </c>
      <c r="H1" s="17" t="s">
        <v>7</v>
      </c>
      <c r="I1" s="17" t="s">
        <v>8</v>
      </c>
      <c r="J1" s="18" t="s">
        <v>9</v>
      </c>
      <c r="K1" s="20" t="s">
        <v>10</v>
      </c>
      <c r="L1" s="18" t="s">
        <v>11</v>
      </c>
      <c r="M1" s="12" t="s">
        <v>12</v>
      </c>
      <c r="N1" s="12" t="s">
        <v>513</v>
      </c>
    </row>
    <row r="2" spans="1:14" x14ac:dyDescent="0.3">
      <c r="A2" s="4" t="s">
        <v>13</v>
      </c>
      <c r="B2" s="4" t="s">
        <v>14</v>
      </c>
      <c r="C2" s="5" t="s">
        <v>15</v>
      </c>
      <c r="D2" s="4" t="s">
        <v>16</v>
      </c>
      <c r="E2" s="6" t="s">
        <v>17</v>
      </c>
      <c r="F2" s="6" t="s">
        <v>18</v>
      </c>
      <c r="G2" s="16">
        <v>24516</v>
      </c>
      <c r="H2" s="16">
        <v>976</v>
      </c>
      <c r="I2" s="16">
        <v>974</v>
      </c>
      <c r="J2" s="19">
        <v>2675</v>
      </c>
      <c r="K2" s="21">
        <v>23275</v>
      </c>
      <c r="L2" s="19">
        <v>202932</v>
      </c>
      <c r="M2" s="4" t="s">
        <v>19</v>
      </c>
      <c r="N2" s="6">
        <f>(G2+H2+I2)/L2*100</f>
        <v>13.041807107799658</v>
      </c>
    </row>
    <row r="3" spans="1:14" x14ac:dyDescent="0.3">
      <c r="A3" s="4" t="s">
        <v>20</v>
      </c>
      <c r="B3" s="4" t="s">
        <v>21</v>
      </c>
      <c r="C3" s="5">
        <v>45903</v>
      </c>
      <c r="D3" s="4" t="s">
        <v>16</v>
      </c>
      <c r="E3" s="6" t="s">
        <v>22</v>
      </c>
      <c r="F3" s="6" t="s">
        <v>23</v>
      </c>
      <c r="G3" s="16">
        <v>4779</v>
      </c>
      <c r="H3" s="16">
        <v>1110</v>
      </c>
      <c r="I3" s="16">
        <v>436</v>
      </c>
      <c r="J3" s="19">
        <v>1574</v>
      </c>
      <c r="K3" s="21">
        <v>77167</v>
      </c>
      <c r="L3" s="19">
        <v>71585</v>
      </c>
      <c r="M3" s="4" t="s">
        <v>24</v>
      </c>
      <c r="N3" s="6">
        <f t="shared" ref="N3:N66" si="0">(G3+H3+I3)/L3*100</f>
        <v>8.8356499266606132</v>
      </c>
    </row>
    <row r="4" spans="1:14" x14ac:dyDescent="0.3">
      <c r="A4" s="4" t="s">
        <v>25</v>
      </c>
      <c r="B4" s="4" t="s">
        <v>26</v>
      </c>
      <c r="C4" s="5" t="s">
        <v>27</v>
      </c>
      <c r="D4" s="4" t="s">
        <v>28</v>
      </c>
      <c r="E4" s="6" t="s">
        <v>29</v>
      </c>
      <c r="F4" s="6" t="s">
        <v>30</v>
      </c>
      <c r="G4" s="16">
        <v>19308</v>
      </c>
      <c r="H4" s="16">
        <v>1318</v>
      </c>
      <c r="I4" s="16">
        <v>795</v>
      </c>
      <c r="J4" s="19">
        <v>1499</v>
      </c>
      <c r="K4" s="21">
        <v>52307</v>
      </c>
      <c r="L4" s="19">
        <v>193087</v>
      </c>
      <c r="M4" s="4" t="s">
        <v>31</v>
      </c>
      <c r="N4" s="6">
        <f t="shared" si="0"/>
        <v>11.093962825047775</v>
      </c>
    </row>
    <row r="5" spans="1:14" x14ac:dyDescent="0.3">
      <c r="A5" s="4" t="s">
        <v>32</v>
      </c>
      <c r="B5" s="4" t="s">
        <v>14</v>
      </c>
      <c r="C5" s="5" t="s">
        <v>33</v>
      </c>
      <c r="D5" s="4" t="s">
        <v>34</v>
      </c>
      <c r="E5" s="6" t="s">
        <v>35</v>
      </c>
      <c r="F5" s="6" t="s">
        <v>36</v>
      </c>
      <c r="G5" s="16">
        <v>3581</v>
      </c>
      <c r="H5" s="16">
        <v>517</v>
      </c>
      <c r="I5" s="16">
        <v>880</v>
      </c>
      <c r="J5" s="19">
        <v>1925</v>
      </c>
      <c r="K5" s="21">
        <v>18636</v>
      </c>
      <c r="L5" s="19">
        <v>248611</v>
      </c>
      <c r="M5" s="4" t="s">
        <v>37</v>
      </c>
      <c r="N5" s="6">
        <f t="shared" si="0"/>
        <v>2.0023249172401862</v>
      </c>
    </row>
    <row r="6" spans="1:14" x14ac:dyDescent="0.3">
      <c r="A6" s="4" t="s">
        <v>38</v>
      </c>
      <c r="B6" s="4" t="s">
        <v>14</v>
      </c>
      <c r="C6" s="5">
        <v>45904</v>
      </c>
      <c r="D6" s="4" t="s">
        <v>34</v>
      </c>
      <c r="E6" s="6" t="s">
        <v>17</v>
      </c>
      <c r="F6" s="6" t="s">
        <v>18</v>
      </c>
      <c r="G6" s="16">
        <v>21708</v>
      </c>
      <c r="H6" s="16">
        <v>435</v>
      </c>
      <c r="I6" s="16">
        <v>317</v>
      </c>
      <c r="J6" s="19">
        <v>1213</v>
      </c>
      <c r="K6" s="21">
        <v>70701</v>
      </c>
      <c r="L6" s="19">
        <v>83585</v>
      </c>
      <c r="M6" s="4" t="s">
        <v>24</v>
      </c>
      <c r="N6" s="6">
        <f t="shared" si="0"/>
        <v>26.870850032900641</v>
      </c>
    </row>
    <row r="7" spans="1:14" x14ac:dyDescent="0.3">
      <c r="A7" s="4" t="s">
        <v>39</v>
      </c>
      <c r="B7" s="4" t="s">
        <v>21</v>
      </c>
      <c r="C7" s="5">
        <v>45905</v>
      </c>
      <c r="D7" s="4" t="s">
        <v>16</v>
      </c>
      <c r="E7" s="6" t="s">
        <v>40</v>
      </c>
      <c r="F7" s="6"/>
      <c r="G7" s="16">
        <v>14677</v>
      </c>
      <c r="H7" s="16">
        <v>533</v>
      </c>
      <c r="I7" s="16">
        <v>759</v>
      </c>
      <c r="J7" s="19">
        <v>753</v>
      </c>
      <c r="K7" s="21">
        <v>23275</v>
      </c>
      <c r="L7" s="19">
        <v>66958</v>
      </c>
      <c r="M7" s="4" t="s">
        <v>24</v>
      </c>
      <c r="N7" s="6">
        <f t="shared" si="0"/>
        <v>23.849278652289495</v>
      </c>
    </row>
    <row r="8" spans="1:14" x14ac:dyDescent="0.3">
      <c r="A8" s="4" t="s">
        <v>41</v>
      </c>
      <c r="B8" s="4" t="s">
        <v>26</v>
      </c>
      <c r="C8" s="5" t="s">
        <v>42</v>
      </c>
      <c r="D8" s="4" t="s">
        <v>43</v>
      </c>
      <c r="E8" s="6" t="s">
        <v>44</v>
      </c>
      <c r="F8" s="6" t="s">
        <v>45</v>
      </c>
      <c r="G8" s="16">
        <v>7713</v>
      </c>
      <c r="H8" s="16">
        <v>575</v>
      </c>
      <c r="I8" s="16">
        <v>417</v>
      </c>
      <c r="J8" s="19">
        <v>336</v>
      </c>
      <c r="K8" s="21">
        <v>61660</v>
      </c>
      <c r="L8" s="19">
        <v>66017</v>
      </c>
      <c r="M8" s="4" t="s">
        <v>37</v>
      </c>
      <c r="N8" s="6">
        <f t="shared" si="0"/>
        <v>13.185997546086615</v>
      </c>
    </row>
    <row r="9" spans="1:14" x14ac:dyDescent="0.3">
      <c r="A9" s="4" t="s">
        <v>46</v>
      </c>
      <c r="B9" s="4" t="s">
        <v>26</v>
      </c>
      <c r="C9" s="5" t="s">
        <v>47</v>
      </c>
      <c r="D9" s="4" t="s">
        <v>34</v>
      </c>
      <c r="E9" s="6" t="s">
        <v>48</v>
      </c>
      <c r="F9" s="6" t="s">
        <v>49</v>
      </c>
      <c r="G9" s="16">
        <v>18639</v>
      </c>
      <c r="H9" s="16">
        <v>1360</v>
      </c>
      <c r="I9" s="16">
        <v>898</v>
      </c>
      <c r="J9" s="19">
        <v>2011</v>
      </c>
      <c r="K9" s="21">
        <v>42841</v>
      </c>
      <c r="L9" s="19">
        <v>247779</v>
      </c>
      <c r="M9" s="4" t="s">
        <v>37</v>
      </c>
      <c r="N9" s="6">
        <f t="shared" si="0"/>
        <v>8.4337252148083568</v>
      </c>
    </row>
    <row r="10" spans="1:14" x14ac:dyDescent="0.3">
      <c r="A10" s="4" t="s">
        <v>50</v>
      </c>
      <c r="B10" s="4" t="s">
        <v>14</v>
      </c>
      <c r="C10" s="5" t="s">
        <v>51</v>
      </c>
      <c r="D10" s="4" t="s">
        <v>43</v>
      </c>
      <c r="E10" s="6" t="s">
        <v>22</v>
      </c>
      <c r="F10" s="6" t="s">
        <v>23</v>
      </c>
      <c r="G10" s="16">
        <v>6804</v>
      </c>
      <c r="H10" s="16">
        <v>787</v>
      </c>
      <c r="I10" s="16">
        <v>970</v>
      </c>
      <c r="J10" s="19">
        <v>1095</v>
      </c>
      <c r="K10" s="21">
        <v>56343</v>
      </c>
      <c r="L10" s="19">
        <v>164677</v>
      </c>
      <c r="M10" s="4" t="s">
        <v>19</v>
      </c>
      <c r="N10" s="6">
        <f t="shared" si="0"/>
        <v>5.1986616224487934</v>
      </c>
    </row>
    <row r="11" spans="1:14" x14ac:dyDescent="0.3">
      <c r="A11" s="4" t="s">
        <v>52</v>
      </c>
      <c r="B11" s="4" t="s">
        <v>53</v>
      </c>
      <c r="C11" s="5" t="s">
        <v>54</v>
      </c>
      <c r="D11" s="4" t="s">
        <v>34</v>
      </c>
      <c r="E11" s="6" t="s">
        <v>55</v>
      </c>
      <c r="F11" s="6" t="s">
        <v>56</v>
      </c>
      <c r="G11" s="16">
        <v>20222</v>
      </c>
      <c r="H11" s="16">
        <v>712</v>
      </c>
      <c r="I11" s="16">
        <v>604</v>
      </c>
      <c r="J11" s="19">
        <v>1272</v>
      </c>
      <c r="K11" s="21">
        <v>71598</v>
      </c>
      <c r="L11" s="19">
        <v>216422</v>
      </c>
      <c r="M11" s="4" t="s">
        <v>31</v>
      </c>
      <c r="N11" s="6">
        <f t="shared" si="0"/>
        <v>9.9518533235992646</v>
      </c>
    </row>
    <row r="12" spans="1:14" x14ac:dyDescent="0.3">
      <c r="A12" s="4" t="s">
        <v>57</v>
      </c>
      <c r="B12" s="4" t="s">
        <v>14</v>
      </c>
      <c r="C12" s="5" t="s">
        <v>58</v>
      </c>
      <c r="D12" s="4" t="s">
        <v>43</v>
      </c>
      <c r="E12" s="6" t="s">
        <v>35</v>
      </c>
      <c r="F12" s="6" t="s">
        <v>36</v>
      </c>
      <c r="G12" s="16">
        <v>12136</v>
      </c>
      <c r="H12" s="16">
        <v>1117</v>
      </c>
      <c r="I12" s="16">
        <v>834</v>
      </c>
      <c r="J12" s="19">
        <v>892</v>
      </c>
      <c r="K12" s="21">
        <v>24675</v>
      </c>
      <c r="L12" s="19">
        <v>183273</v>
      </c>
      <c r="M12" s="4" t="s">
        <v>31</v>
      </c>
      <c r="N12" s="6">
        <f t="shared" si="0"/>
        <v>7.6863476889667322</v>
      </c>
    </row>
    <row r="13" spans="1:14" x14ac:dyDescent="0.3">
      <c r="A13" s="4" t="s">
        <v>59</v>
      </c>
      <c r="B13" s="4" t="s">
        <v>14</v>
      </c>
      <c r="C13" s="5" t="s">
        <v>60</v>
      </c>
      <c r="D13" s="4" t="s">
        <v>28</v>
      </c>
      <c r="E13" s="6" t="s">
        <v>22</v>
      </c>
      <c r="F13" s="6" t="s">
        <v>23</v>
      </c>
      <c r="G13" s="16">
        <v>2009</v>
      </c>
      <c r="H13" s="16">
        <v>1072</v>
      </c>
      <c r="I13" s="16">
        <v>550</v>
      </c>
      <c r="J13" s="19">
        <v>1437</v>
      </c>
      <c r="K13" s="21">
        <v>22982</v>
      </c>
      <c r="L13" s="19">
        <v>69426</v>
      </c>
      <c r="M13" s="4" t="s">
        <v>37</v>
      </c>
      <c r="N13" s="6">
        <f t="shared" si="0"/>
        <v>5.2300290957278257</v>
      </c>
    </row>
    <row r="14" spans="1:14" x14ac:dyDescent="0.3">
      <c r="A14" s="4" t="s">
        <v>61</v>
      </c>
      <c r="B14" s="4" t="s">
        <v>14</v>
      </c>
      <c r="C14" s="5" t="s">
        <v>62</v>
      </c>
      <c r="D14" s="4" t="s">
        <v>43</v>
      </c>
      <c r="E14" s="6" t="s">
        <v>44</v>
      </c>
      <c r="F14" s="6" t="s">
        <v>45</v>
      </c>
      <c r="G14" s="16">
        <v>21255</v>
      </c>
      <c r="H14" s="16">
        <v>1452</v>
      </c>
      <c r="I14" s="16">
        <v>625</v>
      </c>
      <c r="J14" s="19">
        <v>1624</v>
      </c>
      <c r="K14" s="21">
        <v>21282</v>
      </c>
      <c r="L14" s="19">
        <v>57778</v>
      </c>
      <c r="M14" s="4" t="s">
        <v>63</v>
      </c>
      <c r="N14" s="6">
        <f t="shared" si="0"/>
        <v>40.382152376337018</v>
      </c>
    </row>
    <row r="15" spans="1:14" x14ac:dyDescent="0.3">
      <c r="A15" s="4" t="s">
        <v>64</v>
      </c>
      <c r="B15" s="4" t="s">
        <v>14</v>
      </c>
      <c r="C15" s="5">
        <v>45906</v>
      </c>
      <c r="D15" s="4" t="s">
        <v>28</v>
      </c>
      <c r="E15" s="6" t="s">
        <v>48</v>
      </c>
      <c r="F15" s="6" t="s">
        <v>49</v>
      </c>
      <c r="G15" s="16">
        <v>7124</v>
      </c>
      <c r="H15" s="16">
        <v>469</v>
      </c>
      <c r="I15" s="16">
        <v>851</v>
      </c>
      <c r="J15" s="19">
        <v>2571</v>
      </c>
      <c r="K15" s="21">
        <v>33802</v>
      </c>
      <c r="L15" s="19">
        <v>216313</v>
      </c>
      <c r="M15" s="4" t="s">
        <v>24</v>
      </c>
      <c r="N15" s="6">
        <f t="shared" si="0"/>
        <v>3.903602649863855</v>
      </c>
    </row>
    <row r="16" spans="1:14" x14ac:dyDescent="0.3">
      <c r="A16" s="4" t="s">
        <v>65</v>
      </c>
      <c r="B16" s="4" t="s">
        <v>21</v>
      </c>
      <c r="C16" s="5">
        <v>45907</v>
      </c>
      <c r="D16" s="4" t="s">
        <v>28</v>
      </c>
      <c r="E16" s="6" t="s">
        <v>29</v>
      </c>
      <c r="F16" s="6" t="s">
        <v>30</v>
      </c>
      <c r="G16" s="16">
        <v>3015</v>
      </c>
      <c r="H16" s="16">
        <v>997</v>
      </c>
      <c r="I16" s="16">
        <v>783</v>
      </c>
      <c r="J16" s="19">
        <v>617</v>
      </c>
      <c r="K16" s="21">
        <v>77167</v>
      </c>
      <c r="L16" s="19">
        <v>82229</v>
      </c>
      <c r="M16" s="4" t="s">
        <v>24</v>
      </c>
      <c r="N16" s="6">
        <f t="shared" si="0"/>
        <v>5.8312760704860818</v>
      </c>
    </row>
    <row r="17" spans="1:14" x14ac:dyDescent="0.3">
      <c r="A17" s="4" t="s">
        <v>66</v>
      </c>
      <c r="B17" s="4" t="s">
        <v>26</v>
      </c>
      <c r="C17" s="5" t="s">
        <v>67</v>
      </c>
      <c r="D17" s="4" t="s">
        <v>43</v>
      </c>
      <c r="E17" s="6" t="s">
        <v>48</v>
      </c>
      <c r="F17" s="6" t="s">
        <v>49</v>
      </c>
      <c r="G17" s="16">
        <v>4193</v>
      </c>
      <c r="H17" s="16">
        <v>924</v>
      </c>
      <c r="I17" s="16">
        <v>707</v>
      </c>
      <c r="J17" s="19">
        <v>2696</v>
      </c>
      <c r="K17" s="21">
        <v>55075</v>
      </c>
      <c r="L17" s="19">
        <v>126652</v>
      </c>
      <c r="M17" s="4" t="s">
        <v>37</v>
      </c>
      <c r="N17" s="6">
        <f t="shared" si="0"/>
        <v>4.5984271863057824</v>
      </c>
    </row>
    <row r="18" spans="1:14" x14ac:dyDescent="0.3">
      <c r="A18" s="4" t="s">
        <v>68</v>
      </c>
      <c r="B18" s="4" t="s">
        <v>21</v>
      </c>
      <c r="C18" s="5" t="s">
        <v>69</v>
      </c>
      <c r="D18" s="4" t="s">
        <v>28</v>
      </c>
      <c r="E18" s="6" t="s">
        <v>35</v>
      </c>
      <c r="F18" s="6" t="s">
        <v>70</v>
      </c>
      <c r="G18" s="16">
        <v>10415</v>
      </c>
      <c r="H18" s="16">
        <v>1388</v>
      </c>
      <c r="I18" s="16">
        <v>725</v>
      </c>
      <c r="J18" s="19">
        <v>2462</v>
      </c>
      <c r="K18" s="21">
        <v>53082</v>
      </c>
      <c r="L18" s="19">
        <v>168267</v>
      </c>
      <c r="M18" s="4" t="s">
        <v>63</v>
      </c>
      <c r="N18" s="6">
        <f t="shared" si="0"/>
        <v>7.4453101321114659</v>
      </c>
    </row>
    <row r="19" spans="1:14" x14ac:dyDescent="0.3">
      <c r="A19" s="4" t="s">
        <v>71</v>
      </c>
      <c r="B19" s="4" t="s">
        <v>21</v>
      </c>
      <c r="C19" s="5" t="s">
        <v>72</v>
      </c>
      <c r="D19" s="4" t="s">
        <v>16</v>
      </c>
      <c r="E19" s="6" t="s">
        <v>48</v>
      </c>
      <c r="F19" s="6" t="s">
        <v>49</v>
      </c>
      <c r="G19" s="16">
        <v>15550</v>
      </c>
      <c r="H19" s="16">
        <v>204</v>
      </c>
      <c r="I19" s="16">
        <v>279</v>
      </c>
      <c r="J19" s="19">
        <v>1646</v>
      </c>
      <c r="K19" s="21">
        <v>35819</v>
      </c>
      <c r="L19" s="19">
        <v>219436</v>
      </c>
      <c r="M19" s="4" t="s">
        <v>19</v>
      </c>
      <c r="N19" s="6">
        <f t="shared" si="0"/>
        <v>7.3064583751070931</v>
      </c>
    </row>
    <row r="20" spans="1:14" x14ac:dyDescent="0.3">
      <c r="A20" s="4" t="s">
        <v>73</v>
      </c>
      <c r="B20" s="4" t="s">
        <v>21</v>
      </c>
      <c r="C20" s="5" t="s">
        <v>74</v>
      </c>
      <c r="D20" s="4" t="s">
        <v>28</v>
      </c>
      <c r="E20" s="6" t="s">
        <v>35</v>
      </c>
      <c r="F20" s="6" t="s">
        <v>70</v>
      </c>
      <c r="G20" s="16">
        <v>16512</v>
      </c>
      <c r="H20" s="16">
        <v>1050</v>
      </c>
      <c r="I20" s="16">
        <v>971</v>
      </c>
      <c r="J20" s="19">
        <v>1891</v>
      </c>
      <c r="K20" s="21">
        <v>15865</v>
      </c>
      <c r="L20" s="19">
        <v>166503</v>
      </c>
      <c r="M20" s="4" t="s">
        <v>37</v>
      </c>
      <c r="N20" s="6">
        <f t="shared" si="0"/>
        <v>11.13073037723044</v>
      </c>
    </row>
    <row r="21" spans="1:14" x14ac:dyDescent="0.3">
      <c r="A21" s="4" t="s">
        <v>75</v>
      </c>
      <c r="B21" s="4" t="s">
        <v>14</v>
      </c>
      <c r="C21" s="5" t="s">
        <v>76</v>
      </c>
      <c r="D21" s="4" t="s">
        <v>34</v>
      </c>
      <c r="E21" s="6" t="s">
        <v>29</v>
      </c>
      <c r="F21" s="6" t="s">
        <v>30</v>
      </c>
      <c r="G21" s="16">
        <v>6158</v>
      </c>
      <c r="H21" s="16">
        <v>277</v>
      </c>
      <c r="I21" s="16">
        <v>512</v>
      </c>
      <c r="J21" s="19">
        <v>2189</v>
      </c>
      <c r="K21" s="21">
        <v>76881</v>
      </c>
      <c r="L21" s="19">
        <v>124878</v>
      </c>
      <c r="M21" s="4" t="s">
        <v>37</v>
      </c>
      <c r="N21" s="6">
        <f t="shared" si="0"/>
        <v>5.5630295168084052</v>
      </c>
    </row>
    <row r="22" spans="1:14" x14ac:dyDescent="0.3">
      <c r="A22" s="4" t="s">
        <v>77</v>
      </c>
      <c r="B22" s="4" t="s">
        <v>53</v>
      </c>
      <c r="C22" s="5">
        <v>45908</v>
      </c>
      <c r="D22" s="4" t="s">
        <v>43</v>
      </c>
      <c r="E22" s="6" t="s">
        <v>78</v>
      </c>
      <c r="F22" s="6" t="s">
        <v>40</v>
      </c>
      <c r="G22" s="16">
        <v>22309</v>
      </c>
      <c r="H22" s="16">
        <v>773</v>
      </c>
      <c r="I22" s="16">
        <v>854</v>
      </c>
      <c r="J22" s="19">
        <v>2387</v>
      </c>
      <c r="K22" s="21">
        <v>72396</v>
      </c>
      <c r="L22" s="19">
        <v>97056</v>
      </c>
      <c r="M22" s="4" t="s">
        <v>24</v>
      </c>
      <c r="N22" s="6">
        <f t="shared" si="0"/>
        <v>24.662050774810417</v>
      </c>
    </row>
    <row r="23" spans="1:14" x14ac:dyDescent="0.3">
      <c r="A23" s="4" t="s">
        <v>79</v>
      </c>
      <c r="B23" s="4" t="s">
        <v>26</v>
      </c>
      <c r="C23" s="5" t="s">
        <v>80</v>
      </c>
      <c r="D23" s="4" t="s">
        <v>16</v>
      </c>
      <c r="E23" s="6" t="s">
        <v>44</v>
      </c>
      <c r="F23" s="6" t="s">
        <v>45</v>
      </c>
      <c r="G23" s="16">
        <v>8970</v>
      </c>
      <c r="H23" s="16">
        <v>331</v>
      </c>
      <c r="I23" s="16">
        <v>968</v>
      </c>
      <c r="J23" s="19">
        <v>2296</v>
      </c>
      <c r="K23" s="21">
        <v>24613</v>
      </c>
      <c r="L23" s="19">
        <v>198562</v>
      </c>
      <c r="M23" s="4" t="s">
        <v>37</v>
      </c>
      <c r="N23" s="6">
        <f t="shared" si="0"/>
        <v>5.1716844109144757</v>
      </c>
    </row>
    <row r="24" spans="1:14" x14ac:dyDescent="0.3">
      <c r="A24" s="4" t="s">
        <v>81</v>
      </c>
      <c r="B24" s="4" t="s">
        <v>53</v>
      </c>
      <c r="C24" s="5" t="s">
        <v>82</v>
      </c>
      <c r="D24" s="4" t="s">
        <v>43</v>
      </c>
      <c r="E24" s="6" t="s">
        <v>35</v>
      </c>
      <c r="F24" s="6" t="s">
        <v>70</v>
      </c>
      <c r="G24" s="16">
        <v>8938</v>
      </c>
      <c r="H24" s="16">
        <v>800</v>
      </c>
      <c r="I24" s="16">
        <v>842</v>
      </c>
      <c r="J24" s="19">
        <v>2072</v>
      </c>
      <c r="K24" s="21">
        <v>31736</v>
      </c>
      <c r="L24" s="19">
        <v>59975</v>
      </c>
      <c r="M24" s="4" t="s">
        <v>37</v>
      </c>
      <c r="N24" s="6">
        <f t="shared" si="0"/>
        <v>17.64068361817424</v>
      </c>
    </row>
    <row r="25" spans="1:14" x14ac:dyDescent="0.3">
      <c r="A25" s="4" t="s">
        <v>83</v>
      </c>
      <c r="B25" s="4" t="s">
        <v>21</v>
      </c>
      <c r="C25" s="5" t="s">
        <v>84</v>
      </c>
      <c r="D25" s="4" t="s">
        <v>34</v>
      </c>
      <c r="E25" s="6" t="s">
        <v>55</v>
      </c>
      <c r="F25" s="6" t="s">
        <v>56</v>
      </c>
      <c r="G25" s="16">
        <v>23168</v>
      </c>
      <c r="H25" s="16">
        <v>1265</v>
      </c>
      <c r="I25" s="16">
        <v>441</v>
      </c>
      <c r="J25" s="19">
        <v>1612</v>
      </c>
      <c r="K25" s="21">
        <v>66615</v>
      </c>
      <c r="L25" s="19">
        <v>197795</v>
      </c>
      <c r="M25" s="4" t="s">
        <v>37</v>
      </c>
      <c r="N25" s="6">
        <f t="shared" si="0"/>
        <v>12.57564650269218</v>
      </c>
    </row>
    <row r="26" spans="1:14" x14ac:dyDescent="0.3">
      <c r="A26" s="4" t="s">
        <v>85</v>
      </c>
      <c r="B26" s="4" t="s">
        <v>21</v>
      </c>
      <c r="C26" s="5">
        <v>45909</v>
      </c>
      <c r="D26" s="4" t="s">
        <v>34</v>
      </c>
      <c r="E26" s="6" t="s">
        <v>48</v>
      </c>
      <c r="F26" s="6" t="s">
        <v>49</v>
      </c>
      <c r="G26" s="16">
        <v>15772</v>
      </c>
      <c r="H26" s="16">
        <v>288</v>
      </c>
      <c r="I26" s="16">
        <v>520</v>
      </c>
      <c r="J26" s="19">
        <v>1585</v>
      </c>
      <c r="K26" s="21">
        <v>59182</v>
      </c>
      <c r="L26" s="19">
        <v>194351</v>
      </c>
      <c r="M26" s="4" t="s">
        <v>24</v>
      </c>
      <c r="N26" s="6">
        <f t="shared" si="0"/>
        <v>8.530956876990599</v>
      </c>
    </row>
    <row r="27" spans="1:14" x14ac:dyDescent="0.3">
      <c r="A27" s="4" t="s">
        <v>86</v>
      </c>
      <c r="B27" s="4" t="s">
        <v>53</v>
      </c>
      <c r="C27" s="5" t="s">
        <v>87</v>
      </c>
      <c r="D27" s="4" t="s">
        <v>34</v>
      </c>
      <c r="E27" s="6" t="s">
        <v>48</v>
      </c>
      <c r="F27" s="6" t="s">
        <v>49</v>
      </c>
      <c r="G27" s="16">
        <v>22384</v>
      </c>
      <c r="H27" s="16">
        <v>601</v>
      </c>
      <c r="I27" s="16">
        <v>943</v>
      </c>
      <c r="J27" s="19">
        <v>515</v>
      </c>
      <c r="K27" s="21">
        <v>41309</v>
      </c>
      <c r="L27" s="19">
        <v>249373</v>
      </c>
      <c r="M27" s="4" t="s">
        <v>19</v>
      </c>
      <c r="N27" s="6">
        <f t="shared" si="0"/>
        <v>9.595264924430472</v>
      </c>
    </row>
    <row r="28" spans="1:14" x14ac:dyDescent="0.3">
      <c r="A28" s="4" t="s">
        <v>88</v>
      </c>
      <c r="B28" s="4" t="s">
        <v>53</v>
      </c>
      <c r="C28" s="5" t="s">
        <v>89</v>
      </c>
      <c r="D28" s="4" t="s">
        <v>28</v>
      </c>
      <c r="E28" s="6" t="s">
        <v>55</v>
      </c>
      <c r="F28" s="6" t="s">
        <v>56</v>
      </c>
      <c r="G28" s="16">
        <v>20017</v>
      </c>
      <c r="H28" s="16">
        <v>495</v>
      </c>
      <c r="I28" s="16">
        <v>178</v>
      </c>
      <c r="J28" s="19">
        <v>2683</v>
      </c>
      <c r="K28" s="21">
        <v>32244</v>
      </c>
      <c r="L28" s="19">
        <v>182633</v>
      </c>
      <c r="M28" s="4" t="s">
        <v>19</v>
      </c>
      <c r="N28" s="6">
        <f>(G28+H28+I28)/L28*100</f>
        <v>11.32873029518214</v>
      </c>
    </row>
    <row r="29" spans="1:14" x14ac:dyDescent="0.3">
      <c r="A29" s="4" t="s">
        <v>90</v>
      </c>
      <c r="B29" s="4" t="s">
        <v>53</v>
      </c>
      <c r="C29" s="5" t="s">
        <v>91</v>
      </c>
      <c r="D29" s="4" t="s">
        <v>28</v>
      </c>
      <c r="E29" s="6" t="s">
        <v>40</v>
      </c>
      <c r="F29" s="6"/>
      <c r="G29" s="16">
        <v>12344</v>
      </c>
      <c r="H29" s="16">
        <v>815</v>
      </c>
      <c r="I29" s="16">
        <v>298</v>
      </c>
      <c r="J29" s="19">
        <v>2439</v>
      </c>
      <c r="K29" s="21">
        <v>6259</v>
      </c>
      <c r="L29" s="19">
        <v>237133</v>
      </c>
      <c r="M29" s="4" t="s">
        <v>37</v>
      </c>
      <c r="N29" s="6">
        <f t="shared" si="0"/>
        <v>5.6748744375519227</v>
      </c>
    </row>
    <row r="30" spans="1:14" x14ac:dyDescent="0.3">
      <c r="A30" s="4" t="s">
        <v>92</v>
      </c>
      <c r="B30" s="4" t="s">
        <v>21</v>
      </c>
      <c r="C30" s="5">
        <v>45910</v>
      </c>
      <c r="D30" s="4" t="s">
        <v>43</v>
      </c>
      <c r="E30" s="6" t="s">
        <v>93</v>
      </c>
      <c r="F30" s="6"/>
      <c r="G30" s="16">
        <v>9266</v>
      </c>
      <c r="H30" s="16">
        <v>999</v>
      </c>
      <c r="I30" s="16">
        <v>928</v>
      </c>
      <c r="J30" s="19">
        <v>2700</v>
      </c>
      <c r="K30" s="21">
        <v>12264</v>
      </c>
      <c r="L30" s="19">
        <v>128397</v>
      </c>
      <c r="M30" s="4" t="s">
        <v>24</v>
      </c>
      <c r="N30" s="6">
        <f t="shared" si="0"/>
        <v>8.7174933993784904</v>
      </c>
    </row>
    <row r="31" spans="1:14" x14ac:dyDescent="0.3">
      <c r="A31" s="4" t="s">
        <v>94</v>
      </c>
      <c r="B31" s="4" t="s">
        <v>21</v>
      </c>
      <c r="C31" s="5" t="s">
        <v>95</v>
      </c>
      <c r="D31" s="4" t="s">
        <v>43</v>
      </c>
      <c r="E31" s="6" t="s">
        <v>78</v>
      </c>
      <c r="F31" s="6" t="s">
        <v>40</v>
      </c>
      <c r="G31" s="16">
        <v>10702</v>
      </c>
      <c r="H31" s="16">
        <v>621</v>
      </c>
      <c r="I31" s="16">
        <v>445</v>
      </c>
      <c r="J31" s="19">
        <v>2918</v>
      </c>
      <c r="K31" s="21">
        <v>54808</v>
      </c>
      <c r="L31" s="19">
        <v>220225</v>
      </c>
      <c r="M31" s="4" t="s">
        <v>19</v>
      </c>
      <c r="N31" s="6">
        <f t="shared" si="0"/>
        <v>5.3436258372119427</v>
      </c>
    </row>
    <row r="32" spans="1:14" x14ac:dyDescent="0.3">
      <c r="A32" s="4" t="s">
        <v>96</v>
      </c>
      <c r="B32" s="4" t="s">
        <v>26</v>
      </c>
      <c r="C32" s="5" t="s">
        <v>97</v>
      </c>
      <c r="D32" s="4" t="s">
        <v>16</v>
      </c>
      <c r="E32" s="6" t="s">
        <v>35</v>
      </c>
      <c r="F32" s="6" t="s">
        <v>36</v>
      </c>
      <c r="G32" s="16">
        <v>2384</v>
      </c>
      <c r="H32" s="16">
        <v>1246</v>
      </c>
      <c r="I32" s="16">
        <v>160</v>
      </c>
      <c r="J32" s="19">
        <v>2004</v>
      </c>
      <c r="K32" s="21">
        <v>2701</v>
      </c>
      <c r="L32" s="19">
        <v>73142</v>
      </c>
      <c r="M32" s="4" t="s">
        <v>19</v>
      </c>
      <c r="N32" s="6">
        <f t="shared" si="0"/>
        <v>5.1817013480626724</v>
      </c>
    </row>
    <row r="33" spans="1:14" x14ac:dyDescent="0.3">
      <c r="A33" s="4" t="s">
        <v>98</v>
      </c>
      <c r="B33" s="4" t="s">
        <v>26</v>
      </c>
      <c r="C33" s="5" t="s">
        <v>99</v>
      </c>
      <c r="D33" s="4" t="s">
        <v>16</v>
      </c>
      <c r="E33" s="6" t="s">
        <v>35</v>
      </c>
      <c r="F33" s="6" t="s">
        <v>70</v>
      </c>
      <c r="G33" s="16">
        <v>2404</v>
      </c>
      <c r="H33" s="16">
        <v>774</v>
      </c>
      <c r="I33" s="16">
        <v>661</v>
      </c>
      <c r="J33" s="19">
        <v>662</v>
      </c>
      <c r="K33" s="21">
        <v>12676</v>
      </c>
      <c r="L33" s="19">
        <v>66916</v>
      </c>
      <c r="M33" s="4" t="s">
        <v>19</v>
      </c>
      <c r="N33" s="6">
        <f t="shared" si="0"/>
        <v>5.7370434574690652</v>
      </c>
    </row>
    <row r="34" spans="1:14" x14ac:dyDescent="0.3">
      <c r="A34" s="4" t="s">
        <v>100</v>
      </c>
      <c r="B34" s="4" t="s">
        <v>21</v>
      </c>
      <c r="C34" s="5">
        <v>45911</v>
      </c>
      <c r="D34" s="4" t="s">
        <v>43</v>
      </c>
      <c r="E34" s="6" t="s">
        <v>55</v>
      </c>
      <c r="F34" s="6" t="s">
        <v>56</v>
      </c>
      <c r="G34" s="16">
        <v>10175</v>
      </c>
      <c r="H34" s="16">
        <v>342</v>
      </c>
      <c r="I34" s="16">
        <v>825</v>
      </c>
      <c r="J34" s="19">
        <v>2904</v>
      </c>
      <c r="K34" s="21">
        <v>15954</v>
      </c>
      <c r="L34" s="19">
        <v>104324</v>
      </c>
      <c r="M34" s="4" t="s">
        <v>24</v>
      </c>
      <c r="N34" s="6">
        <f t="shared" si="0"/>
        <v>10.871899083624093</v>
      </c>
    </row>
    <row r="35" spans="1:14" x14ac:dyDescent="0.3">
      <c r="A35" s="4" t="s">
        <v>101</v>
      </c>
      <c r="B35" s="4" t="s">
        <v>53</v>
      </c>
      <c r="C35" s="5">
        <v>45912</v>
      </c>
      <c r="D35" s="4" t="s">
        <v>28</v>
      </c>
      <c r="E35" s="6" t="s">
        <v>29</v>
      </c>
      <c r="F35" s="6" t="s">
        <v>30</v>
      </c>
      <c r="G35" s="16">
        <v>17158</v>
      </c>
      <c r="H35" s="16">
        <v>1192</v>
      </c>
      <c r="I35" s="16">
        <v>262</v>
      </c>
      <c r="J35" s="19">
        <v>2016</v>
      </c>
      <c r="K35" s="21">
        <v>28771</v>
      </c>
      <c r="L35" s="19">
        <v>216037</v>
      </c>
      <c r="M35" s="4" t="s">
        <v>24</v>
      </c>
      <c r="N35" s="6">
        <f t="shared" si="0"/>
        <v>8.6151909163708069</v>
      </c>
    </row>
    <row r="36" spans="1:14" x14ac:dyDescent="0.3">
      <c r="A36" s="4" t="s">
        <v>102</v>
      </c>
      <c r="B36" s="4" t="s">
        <v>53</v>
      </c>
      <c r="C36" s="5" t="s">
        <v>103</v>
      </c>
      <c r="D36" s="4" t="s">
        <v>34</v>
      </c>
      <c r="E36" s="6" t="s">
        <v>35</v>
      </c>
      <c r="F36" s="6" t="s">
        <v>70</v>
      </c>
      <c r="G36" s="16">
        <v>14763</v>
      </c>
      <c r="H36" s="16">
        <v>864</v>
      </c>
      <c r="I36" s="16">
        <v>336</v>
      </c>
      <c r="J36" s="19">
        <v>1493</v>
      </c>
      <c r="K36" s="21">
        <v>33310</v>
      </c>
      <c r="L36" s="19">
        <v>165932</v>
      </c>
      <c r="M36" s="4" t="s">
        <v>37</v>
      </c>
      <c r="N36" s="6">
        <f t="shared" si="0"/>
        <v>9.6202058674637794</v>
      </c>
    </row>
    <row r="37" spans="1:14" x14ac:dyDescent="0.3">
      <c r="A37" s="4" t="s">
        <v>104</v>
      </c>
      <c r="B37" s="4" t="s">
        <v>26</v>
      </c>
      <c r="C37" s="5" t="s">
        <v>105</v>
      </c>
      <c r="D37" s="4" t="s">
        <v>43</v>
      </c>
      <c r="E37" s="6" t="s">
        <v>93</v>
      </c>
      <c r="F37" s="6"/>
      <c r="G37" s="16">
        <v>20384</v>
      </c>
      <c r="H37" s="16">
        <v>344</v>
      </c>
      <c r="I37" s="16">
        <v>956</v>
      </c>
      <c r="J37" s="19">
        <v>655</v>
      </c>
      <c r="K37" s="21">
        <v>67621</v>
      </c>
      <c r="L37" s="19">
        <v>175720</v>
      </c>
      <c r="M37" s="4" t="s">
        <v>31</v>
      </c>
      <c r="N37" s="6">
        <f t="shared" si="0"/>
        <v>12.340086501251992</v>
      </c>
    </row>
    <row r="38" spans="1:14" x14ac:dyDescent="0.3">
      <c r="A38" s="4" t="s">
        <v>106</v>
      </c>
      <c r="B38" s="4" t="s">
        <v>21</v>
      </c>
      <c r="C38" s="5" t="s">
        <v>107</v>
      </c>
      <c r="D38" s="4" t="s">
        <v>16</v>
      </c>
      <c r="E38" s="6" t="s">
        <v>29</v>
      </c>
      <c r="F38" s="6" t="s">
        <v>30</v>
      </c>
      <c r="G38" s="16">
        <v>11860</v>
      </c>
      <c r="H38" s="16">
        <v>1448</v>
      </c>
      <c r="I38" s="16">
        <v>893</v>
      </c>
      <c r="J38" s="19">
        <v>490</v>
      </c>
      <c r="K38" s="21">
        <v>23518</v>
      </c>
      <c r="L38" s="19">
        <v>206205</v>
      </c>
      <c r="M38" s="4" t="s">
        <v>19</v>
      </c>
      <c r="N38" s="6">
        <f t="shared" si="0"/>
        <v>6.8868359157149435</v>
      </c>
    </row>
    <row r="39" spans="1:14" x14ac:dyDescent="0.3">
      <c r="A39" s="4" t="s">
        <v>108</v>
      </c>
      <c r="B39" s="4" t="s">
        <v>26</v>
      </c>
      <c r="C39" s="5" t="s">
        <v>109</v>
      </c>
      <c r="D39" s="4" t="s">
        <v>28</v>
      </c>
      <c r="E39" s="6" t="s">
        <v>22</v>
      </c>
      <c r="F39" s="6" t="s">
        <v>23</v>
      </c>
      <c r="G39" s="16">
        <v>7989</v>
      </c>
      <c r="H39" s="16">
        <v>1206</v>
      </c>
      <c r="I39" s="16">
        <v>376</v>
      </c>
      <c r="J39" s="19">
        <v>2769</v>
      </c>
      <c r="K39" s="21">
        <v>27550</v>
      </c>
      <c r="L39" s="19">
        <v>221749</v>
      </c>
      <c r="M39" s="4" t="s">
        <v>31</v>
      </c>
      <c r="N39" s="6">
        <f t="shared" si="0"/>
        <v>4.3161412227338118</v>
      </c>
    </row>
    <row r="40" spans="1:14" x14ac:dyDescent="0.3">
      <c r="A40" s="4" t="s">
        <v>110</v>
      </c>
      <c r="B40" s="4" t="s">
        <v>26</v>
      </c>
      <c r="C40" s="5">
        <v>45913</v>
      </c>
      <c r="D40" s="4" t="s">
        <v>43</v>
      </c>
      <c r="E40" s="6" t="s">
        <v>44</v>
      </c>
      <c r="F40" s="6" t="s">
        <v>45</v>
      </c>
      <c r="G40" s="16">
        <v>17106</v>
      </c>
      <c r="H40" s="16">
        <v>702</v>
      </c>
      <c r="I40" s="16">
        <v>459</v>
      </c>
      <c r="J40" s="19">
        <v>999</v>
      </c>
      <c r="K40" s="21">
        <v>59627</v>
      </c>
      <c r="L40" s="19">
        <v>136059</v>
      </c>
      <c r="M40" s="4" t="s">
        <v>24</v>
      </c>
      <c r="N40" s="6">
        <f t="shared" si="0"/>
        <v>13.425793222058077</v>
      </c>
    </row>
    <row r="41" spans="1:14" x14ac:dyDescent="0.3">
      <c r="A41" s="4" t="s">
        <v>111</v>
      </c>
      <c r="B41" s="4" t="s">
        <v>14</v>
      </c>
      <c r="C41" s="5">
        <v>45914</v>
      </c>
      <c r="D41" s="4" t="s">
        <v>43</v>
      </c>
      <c r="E41" s="6" t="s">
        <v>48</v>
      </c>
      <c r="F41" s="6" t="s">
        <v>49</v>
      </c>
      <c r="G41" s="16">
        <v>19844</v>
      </c>
      <c r="H41" s="16">
        <v>1020</v>
      </c>
      <c r="I41" s="16">
        <v>247</v>
      </c>
      <c r="J41" s="19">
        <v>2354</v>
      </c>
      <c r="K41" s="21">
        <v>37792</v>
      </c>
      <c r="L41" s="19">
        <v>138317</v>
      </c>
      <c r="M41" s="4" t="s">
        <v>24</v>
      </c>
      <c r="N41" s="6">
        <f t="shared" si="0"/>
        <v>15.262765965138053</v>
      </c>
    </row>
    <row r="42" spans="1:14" x14ac:dyDescent="0.3">
      <c r="A42" s="4" t="s">
        <v>112</v>
      </c>
      <c r="B42" s="4" t="s">
        <v>14</v>
      </c>
      <c r="C42" s="5">
        <v>45915</v>
      </c>
      <c r="D42" s="4" t="s">
        <v>28</v>
      </c>
      <c r="E42" s="6" t="s">
        <v>22</v>
      </c>
      <c r="F42" s="6" t="s">
        <v>23</v>
      </c>
      <c r="G42" s="16">
        <v>5636</v>
      </c>
      <c r="H42" s="16">
        <v>303</v>
      </c>
      <c r="I42" s="16">
        <v>204</v>
      </c>
      <c r="J42" s="19">
        <v>2480</v>
      </c>
      <c r="K42" s="21">
        <v>7377</v>
      </c>
      <c r="L42" s="19">
        <v>241207</v>
      </c>
      <c r="M42" s="4" t="s">
        <v>24</v>
      </c>
      <c r="N42" s="6">
        <f t="shared" si="0"/>
        <v>2.5467751765081443</v>
      </c>
    </row>
    <row r="43" spans="1:14" x14ac:dyDescent="0.3">
      <c r="A43" s="4" t="s">
        <v>113</v>
      </c>
      <c r="B43" s="4" t="s">
        <v>14</v>
      </c>
      <c r="C43" s="5" t="s">
        <v>114</v>
      </c>
      <c r="D43" s="4" t="s">
        <v>43</v>
      </c>
      <c r="E43" s="6" t="s">
        <v>35</v>
      </c>
      <c r="F43" s="6" t="s">
        <v>70</v>
      </c>
      <c r="G43" s="16">
        <v>12916</v>
      </c>
      <c r="H43" s="16">
        <v>1262</v>
      </c>
      <c r="I43" s="16">
        <v>772</v>
      </c>
      <c r="J43" s="19">
        <v>856</v>
      </c>
      <c r="K43" s="21">
        <v>11496</v>
      </c>
      <c r="L43" s="19">
        <v>75046</v>
      </c>
      <c r="M43" s="4" t="s">
        <v>31</v>
      </c>
      <c r="N43" s="6">
        <f t="shared" si="0"/>
        <v>19.921115049436349</v>
      </c>
    </row>
    <row r="44" spans="1:14" x14ac:dyDescent="0.3">
      <c r="A44" s="4" t="s">
        <v>115</v>
      </c>
      <c r="B44" s="4" t="s">
        <v>53</v>
      </c>
      <c r="C44" s="5">
        <v>45916</v>
      </c>
      <c r="D44" s="4" t="s">
        <v>28</v>
      </c>
      <c r="E44" s="6" t="s">
        <v>93</v>
      </c>
      <c r="F44" s="6"/>
      <c r="G44" s="16">
        <v>6809</v>
      </c>
      <c r="H44" s="16">
        <v>397</v>
      </c>
      <c r="I44" s="16">
        <v>813</v>
      </c>
      <c r="J44" s="19">
        <v>1125</v>
      </c>
      <c r="K44" s="21">
        <v>12206</v>
      </c>
      <c r="L44" s="19">
        <v>218136</v>
      </c>
      <c r="M44" s="4" t="s">
        <v>24</v>
      </c>
      <c r="N44" s="6">
        <f t="shared" si="0"/>
        <v>3.6761469908680824</v>
      </c>
    </row>
    <row r="45" spans="1:14" x14ac:dyDescent="0.3">
      <c r="A45" s="4" t="s">
        <v>116</v>
      </c>
      <c r="B45" s="4" t="s">
        <v>21</v>
      </c>
      <c r="C45" s="5" t="s">
        <v>117</v>
      </c>
      <c r="D45" s="4" t="s">
        <v>34</v>
      </c>
      <c r="E45" s="6" t="s">
        <v>78</v>
      </c>
      <c r="F45" s="6" t="s">
        <v>40</v>
      </c>
      <c r="G45" s="16">
        <v>22562</v>
      </c>
      <c r="H45" s="16">
        <v>778</v>
      </c>
      <c r="I45" s="16">
        <v>907</v>
      </c>
      <c r="J45" s="19">
        <v>1354</v>
      </c>
      <c r="K45" s="21">
        <v>34475</v>
      </c>
      <c r="L45" s="19">
        <v>141459</v>
      </c>
      <c r="M45" s="4" t="s">
        <v>37</v>
      </c>
      <c r="N45" s="6">
        <f t="shared" si="0"/>
        <v>17.140655596321196</v>
      </c>
    </row>
    <row r="46" spans="1:14" x14ac:dyDescent="0.3">
      <c r="A46" s="4" t="s">
        <v>118</v>
      </c>
      <c r="B46" s="4" t="s">
        <v>21</v>
      </c>
      <c r="C46" s="5">
        <v>45917</v>
      </c>
      <c r="D46" s="4" t="s">
        <v>28</v>
      </c>
      <c r="E46" s="6" t="s">
        <v>44</v>
      </c>
      <c r="F46" s="6" t="s">
        <v>45</v>
      </c>
      <c r="G46" s="16">
        <v>15456</v>
      </c>
      <c r="H46" s="16">
        <v>590</v>
      </c>
      <c r="I46" s="16">
        <v>555</v>
      </c>
      <c r="J46" s="19">
        <v>2882</v>
      </c>
      <c r="K46" s="21">
        <v>49816</v>
      </c>
      <c r="L46" s="19">
        <v>240422</v>
      </c>
      <c r="M46" s="4" t="s">
        <v>24</v>
      </c>
      <c r="N46" s="6">
        <f t="shared" si="0"/>
        <v>6.9049421433978591</v>
      </c>
    </row>
    <row r="47" spans="1:14" x14ac:dyDescent="0.3">
      <c r="A47" s="4" t="s">
        <v>119</v>
      </c>
      <c r="B47" s="4" t="s">
        <v>21</v>
      </c>
      <c r="C47" s="5" t="s">
        <v>120</v>
      </c>
      <c r="D47" s="4" t="s">
        <v>28</v>
      </c>
      <c r="E47" s="6" t="s">
        <v>35</v>
      </c>
      <c r="F47" s="6" t="s">
        <v>70</v>
      </c>
      <c r="G47" s="16">
        <v>17444</v>
      </c>
      <c r="H47" s="16">
        <v>1402</v>
      </c>
      <c r="I47" s="16">
        <v>218</v>
      </c>
      <c r="J47" s="19">
        <v>725</v>
      </c>
      <c r="K47" s="21">
        <v>8710</v>
      </c>
      <c r="L47" s="19">
        <v>85893</v>
      </c>
      <c r="M47" s="4" t="s">
        <v>63</v>
      </c>
      <c r="N47" s="6">
        <f t="shared" si="0"/>
        <v>22.195056640238437</v>
      </c>
    </row>
    <row r="48" spans="1:14" x14ac:dyDescent="0.3">
      <c r="A48" s="4" t="s">
        <v>121</v>
      </c>
      <c r="B48" s="4" t="s">
        <v>21</v>
      </c>
      <c r="C48" s="5" t="s">
        <v>122</v>
      </c>
      <c r="D48" s="4" t="s">
        <v>28</v>
      </c>
      <c r="E48" s="6" t="s">
        <v>55</v>
      </c>
      <c r="F48" s="6" t="s">
        <v>56</v>
      </c>
      <c r="G48" s="16">
        <v>24984</v>
      </c>
      <c r="H48" s="16">
        <v>753</v>
      </c>
      <c r="I48" s="16">
        <v>461</v>
      </c>
      <c r="J48" s="19">
        <v>2710</v>
      </c>
      <c r="K48" s="21">
        <v>20792</v>
      </c>
      <c r="L48" s="19">
        <v>141520</v>
      </c>
      <c r="M48" s="4" t="s">
        <v>31</v>
      </c>
      <c r="N48" s="6">
        <f t="shared" si="0"/>
        <v>18.511871113623517</v>
      </c>
    </row>
    <row r="49" spans="1:14" x14ac:dyDescent="0.3">
      <c r="A49" s="4" t="s">
        <v>123</v>
      </c>
      <c r="B49" s="4" t="s">
        <v>14</v>
      </c>
      <c r="C49" s="5" t="s">
        <v>54</v>
      </c>
      <c r="D49" s="4" t="s">
        <v>43</v>
      </c>
      <c r="E49" s="6" t="s">
        <v>17</v>
      </c>
      <c r="F49" s="6" t="s">
        <v>18</v>
      </c>
      <c r="G49" s="16">
        <v>7997</v>
      </c>
      <c r="H49" s="16">
        <v>1238</v>
      </c>
      <c r="I49" s="16">
        <v>438</v>
      </c>
      <c r="J49" s="19">
        <v>1874</v>
      </c>
      <c r="K49" s="21">
        <v>36272</v>
      </c>
      <c r="L49" s="19">
        <v>165818</v>
      </c>
      <c r="M49" s="4" t="s">
        <v>63</v>
      </c>
      <c r="N49" s="6">
        <f t="shared" si="0"/>
        <v>5.8335042034037317</v>
      </c>
    </row>
    <row r="50" spans="1:14" x14ac:dyDescent="0.3">
      <c r="A50" s="4" t="s">
        <v>124</v>
      </c>
      <c r="B50" s="4" t="s">
        <v>53</v>
      </c>
      <c r="C50" s="5">
        <v>45918</v>
      </c>
      <c r="D50" s="4" t="s">
        <v>43</v>
      </c>
      <c r="E50" s="6" t="s">
        <v>35</v>
      </c>
      <c r="F50" s="6" t="s">
        <v>70</v>
      </c>
      <c r="G50" s="16">
        <v>4048</v>
      </c>
      <c r="H50" s="16">
        <v>677</v>
      </c>
      <c r="I50" s="16">
        <v>911</v>
      </c>
      <c r="J50" s="19">
        <v>2429</v>
      </c>
      <c r="K50" s="21">
        <v>27361</v>
      </c>
      <c r="L50" s="19">
        <v>101272</v>
      </c>
      <c r="M50" s="4" t="s">
        <v>24</v>
      </c>
      <c r="N50" s="6">
        <f>(G50+H50+I50)/L50*100</f>
        <v>5.5652105221581483</v>
      </c>
    </row>
    <row r="51" spans="1:14" x14ac:dyDescent="0.3">
      <c r="A51" s="4" t="s">
        <v>125</v>
      </c>
      <c r="B51" s="4" t="s">
        <v>53</v>
      </c>
      <c r="C51" s="5" t="s">
        <v>126</v>
      </c>
      <c r="D51" s="4" t="s">
        <v>28</v>
      </c>
      <c r="E51" s="6" t="s">
        <v>44</v>
      </c>
      <c r="F51" s="6" t="s">
        <v>45</v>
      </c>
      <c r="G51" s="16">
        <v>14338</v>
      </c>
      <c r="H51" s="16">
        <v>1454</v>
      </c>
      <c r="I51" s="16">
        <v>697</v>
      </c>
      <c r="J51" s="19">
        <v>2703</v>
      </c>
      <c r="K51" s="21">
        <v>21288</v>
      </c>
      <c r="L51" s="19">
        <v>107649</v>
      </c>
      <c r="M51" s="4" t="s">
        <v>37</v>
      </c>
      <c r="N51" s="6">
        <f t="shared" si="0"/>
        <v>15.317374058282009</v>
      </c>
    </row>
    <row r="52" spans="1:14" x14ac:dyDescent="0.3">
      <c r="A52" s="4" t="s">
        <v>127</v>
      </c>
      <c r="B52" s="4" t="s">
        <v>14</v>
      </c>
      <c r="C52" s="5" t="s">
        <v>128</v>
      </c>
      <c r="D52" s="4" t="s">
        <v>43</v>
      </c>
      <c r="E52" s="6" t="s">
        <v>48</v>
      </c>
      <c r="F52" s="6" t="s">
        <v>49</v>
      </c>
      <c r="G52" s="16">
        <v>23164</v>
      </c>
      <c r="H52" s="16">
        <v>1122</v>
      </c>
      <c r="I52" s="16">
        <v>900</v>
      </c>
      <c r="J52" s="19">
        <v>888</v>
      </c>
      <c r="K52" s="21">
        <v>36938</v>
      </c>
      <c r="L52" s="19">
        <v>104674</v>
      </c>
      <c r="M52" s="4" t="s">
        <v>19</v>
      </c>
      <c r="N52" s="6">
        <f t="shared" si="0"/>
        <v>24.061371496264595</v>
      </c>
    </row>
    <row r="53" spans="1:14" x14ac:dyDescent="0.3">
      <c r="A53" s="4" t="s">
        <v>129</v>
      </c>
      <c r="B53" s="4" t="s">
        <v>53</v>
      </c>
      <c r="C53" s="5">
        <v>45919</v>
      </c>
      <c r="D53" s="4" t="s">
        <v>16</v>
      </c>
      <c r="E53" s="6" t="s">
        <v>48</v>
      </c>
      <c r="F53" s="6" t="s">
        <v>49</v>
      </c>
      <c r="G53" s="16">
        <v>19100</v>
      </c>
      <c r="H53" s="16">
        <v>619</v>
      </c>
      <c r="I53" s="16">
        <v>297</v>
      </c>
      <c r="J53" s="19">
        <v>2312</v>
      </c>
      <c r="K53" s="21">
        <v>9730</v>
      </c>
      <c r="L53" s="19">
        <v>184832</v>
      </c>
      <c r="M53" s="4" t="s">
        <v>24</v>
      </c>
      <c r="N53" s="6">
        <f t="shared" si="0"/>
        <v>10.829293628808864</v>
      </c>
    </row>
    <row r="54" spans="1:14" x14ac:dyDescent="0.3">
      <c r="A54" s="4" t="s">
        <v>130</v>
      </c>
      <c r="B54" s="4" t="s">
        <v>14</v>
      </c>
      <c r="C54" s="5" t="s">
        <v>122</v>
      </c>
      <c r="D54" s="4" t="s">
        <v>16</v>
      </c>
      <c r="E54" s="6" t="s">
        <v>35</v>
      </c>
      <c r="F54" s="6" t="s">
        <v>70</v>
      </c>
      <c r="G54" s="16">
        <v>23949</v>
      </c>
      <c r="H54" s="16">
        <v>356</v>
      </c>
      <c r="I54" s="16">
        <v>616</v>
      </c>
      <c r="J54" s="19">
        <v>1847</v>
      </c>
      <c r="K54" s="21">
        <v>3144</v>
      </c>
      <c r="L54" s="19">
        <v>192999</v>
      </c>
      <c r="M54" s="4" t="s">
        <v>37</v>
      </c>
      <c r="N54" s="6">
        <f t="shared" si="0"/>
        <v>12.912502137316773</v>
      </c>
    </row>
    <row r="55" spans="1:14" x14ac:dyDescent="0.3">
      <c r="A55" s="4" t="s">
        <v>131</v>
      </c>
      <c r="B55" s="4" t="s">
        <v>21</v>
      </c>
      <c r="C55" s="5" t="s">
        <v>132</v>
      </c>
      <c r="D55" s="4" t="s">
        <v>43</v>
      </c>
      <c r="E55" s="6" t="s">
        <v>29</v>
      </c>
      <c r="F55" s="6" t="s">
        <v>30</v>
      </c>
      <c r="G55" s="16">
        <v>6544</v>
      </c>
      <c r="H55" s="16">
        <v>749</v>
      </c>
      <c r="I55" s="16">
        <v>888</v>
      </c>
      <c r="J55" s="19">
        <v>594</v>
      </c>
      <c r="K55" s="21">
        <v>18171</v>
      </c>
      <c r="L55" s="19">
        <v>126475</v>
      </c>
      <c r="M55" s="4" t="s">
        <v>31</v>
      </c>
      <c r="N55" s="6">
        <f t="shared" si="0"/>
        <v>6.4684720300454632</v>
      </c>
    </row>
    <row r="56" spans="1:14" x14ac:dyDescent="0.3">
      <c r="A56" s="4" t="s">
        <v>133</v>
      </c>
      <c r="B56" s="4" t="s">
        <v>14</v>
      </c>
      <c r="C56" s="5" t="s">
        <v>134</v>
      </c>
      <c r="D56" s="4" t="s">
        <v>43</v>
      </c>
      <c r="E56" s="6" t="s">
        <v>17</v>
      </c>
      <c r="F56" s="6" t="s">
        <v>18</v>
      </c>
      <c r="G56" s="16">
        <v>6976</v>
      </c>
      <c r="H56" s="16">
        <v>1320</v>
      </c>
      <c r="I56" s="16">
        <v>393</v>
      </c>
      <c r="J56" s="19">
        <v>2285</v>
      </c>
      <c r="K56" s="21">
        <v>14049</v>
      </c>
      <c r="L56" s="19">
        <v>101367</v>
      </c>
      <c r="M56" s="4" t="s">
        <v>63</v>
      </c>
      <c r="N56" s="6">
        <f t="shared" si="0"/>
        <v>8.5718231771681115</v>
      </c>
    </row>
    <row r="57" spans="1:14" x14ac:dyDescent="0.3">
      <c r="A57" s="4" t="s">
        <v>135</v>
      </c>
      <c r="B57" s="4" t="s">
        <v>21</v>
      </c>
      <c r="C57" s="5" t="s">
        <v>136</v>
      </c>
      <c r="D57" s="4" t="s">
        <v>28</v>
      </c>
      <c r="E57" s="6" t="s">
        <v>55</v>
      </c>
      <c r="F57" s="6" t="s">
        <v>56</v>
      </c>
      <c r="G57" s="16">
        <v>14775</v>
      </c>
      <c r="H57" s="16">
        <v>1220</v>
      </c>
      <c r="I57" s="16">
        <v>640</v>
      </c>
      <c r="J57" s="19">
        <v>1547</v>
      </c>
      <c r="K57" s="21">
        <v>28527</v>
      </c>
      <c r="L57" s="19">
        <v>183660</v>
      </c>
      <c r="M57" s="4" t="s">
        <v>63</v>
      </c>
      <c r="N57" s="6">
        <f t="shared" si="0"/>
        <v>9.0574975498203205</v>
      </c>
    </row>
    <row r="58" spans="1:14" x14ac:dyDescent="0.3">
      <c r="A58" s="4" t="s">
        <v>137</v>
      </c>
      <c r="B58" s="4" t="s">
        <v>21</v>
      </c>
      <c r="C58" s="5" t="s">
        <v>138</v>
      </c>
      <c r="D58" s="4" t="s">
        <v>34</v>
      </c>
      <c r="E58" s="6" t="s">
        <v>35</v>
      </c>
      <c r="F58" s="6" t="s">
        <v>70</v>
      </c>
      <c r="G58" s="16">
        <v>12015</v>
      </c>
      <c r="H58" s="16">
        <v>1196</v>
      </c>
      <c r="I58" s="16">
        <v>998</v>
      </c>
      <c r="J58" s="19">
        <v>1848</v>
      </c>
      <c r="K58" s="21">
        <v>44739</v>
      </c>
      <c r="L58" s="19">
        <v>161750</v>
      </c>
      <c r="M58" s="4" t="s">
        <v>63</v>
      </c>
      <c r="N58" s="6">
        <f t="shared" si="0"/>
        <v>8.7845440494590417</v>
      </c>
    </row>
    <row r="59" spans="1:14" x14ac:dyDescent="0.3">
      <c r="A59" s="4" t="s">
        <v>139</v>
      </c>
      <c r="B59" s="4" t="s">
        <v>26</v>
      </c>
      <c r="C59" s="5" t="s">
        <v>140</v>
      </c>
      <c r="D59" s="4" t="s">
        <v>43</v>
      </c>
      <c r="E59" s="6" t="s">
        <v>29</v>
      </c>
      <c r="F59" s="6" t="s">
        <v>30</v>
      </c>
      <c r="G59" s="16">
        <v>5419</v>
      </c>
      <c r="H59" s="16">
        <v>1150</v>
      </c>
      <c r="I59" s="16">
        <v>656</v>
      </c>
      <c r="J59" s="19">
        <v>1990</v>
      </c>
      <c r="K59" s="21">
        <v>410</v>
      </c>
      <c r="L59" s="19">
        <v>158154</v>
      </c>
      <c r="M59" s="4" t="s">
        <v>31</v>
      </c>
      <c r="N59" s="6">
        <f t="shared" si="0"/>
        <v>4.5683321319726344</v>
      </c>
    </row>
    <row r="60" spans="1:14" x14ac:dyDescent="0.3">
      <c r="A60" s="4" t="s">
        <v>141</v>
      </c>
      <c r="B60" s="4" t="s">
        <v>14</v>
      </c>
      <c r="C60" s="5" t="s">
        <v>142</v>
      </c>
      <c r="D60" s="4" t="s">
        <v>16</v>
      </c>
      <c r="E60" s="6" t="s">
        <v>48</v>
      </c>
      <c r="F60" s="6" t="s">
        <v>49</v>
      </c>
      <c r="G60" s="16">
        <v>16430</v>
      </c>
      <c r="H60" s="16">
        <v>488</v>
      </c>
      <c r="I60" s="16">
        <v>514</v>
      </c>
      <c r="J60" s="19">
        <v>1436</v>
      </c>
      <c r="K60" s="21">
        <v>30059</v>
      </c>
      <c r="L60" s="19">
        <v>223305</v>
      </c>
      <c r="M60" s="4" t="s">
        <v>37</v>
      </c>
      <c r="N60" s="6">
        <f t="shared" si="0"/>
        <v>7.8063634938760877</v>
      </c>
    </row>
    <row r="61" spans="1:14" x14ac:dyDescent="0.3">
      <c r="A61" s="4" t="s">
        <v>143</v>
      </c>
      <c r="B61" s="4" t="s">
        <v>26</v>
      </c>
      <c r="C61" s="5" t="s">
        <v>144</v>
      </c>
      <c r="D61" s="4" t="s">
        <v>28</v>
      </c>
      <c r="E61" s="6" t="s">
        <v>48</v>
      </c>
      <c r="F61" s="6" t="s">
        <v>49</v>
      </c>
      <c r="G61" s="16">
        <v>9239</v>
      </c>
      <c r="H61" s="16">
        <v>1477</v>
      </c>
      <c r="I61" s="16">
        <v>631</v>
      </c>
      <c r="J61" s="19">
        <v>1556</v>
      </c>
      <c r="K61" s="21">
        <v>11580</v>
      </c>
      <c r="L61" s="19">
        <v>84738</v>
      </c>
      <c r="M61" s="4" t="s">
        <v>31</v>
      </c>
      <c r="N61" s="6">
        <f t="shared" si="0"/>
        <v>13.390686586891359</v>
      </c>
    </row>
    <row r="62" spans="1:14" x14ac:dyDescent="0.3">
      <c r="A62" s="4" t="s">
        <v>145</v>
      </c>
      <c r="B62" s="4" t="s">
        <v>14</v>
      </c>
      <c r="C62" s="5" t="s">
        <v>146</v>
      </c>
      <c r="D62" s="4" t="s">
        <v>43</v>
      </c>
      <c r="E62" s="6" t="s">
        <v>93</v>
      </c>
      <c r="F62" s="6"/>
      <c r="G62" s="16">
        <v>16489</v>
      </c>
      <c r="H62" s="16">
        <v>395</v>
      </c>
      <c r="I62" s="16">
        <v>350</v>
      </c>
      <c r="J62" s="19">
        <v>2364</v>
      </c>
      <c r="K62" s="21">
        <v>43239</v>
      </c>
      <c r="L62" s="19">
        <v>73397</v>
      </c>
      <c r="M62" s="4" t="s">
        <v>63</v>
      </c>
      <c r="N62" s="6">
        <f t="shared" si="0"/>
        <v>23.48052372712781</v>
      </c>
    </row>
    <row r="63" spans="1:14" x14ac:dyDescent="0.3">
      <c r="A63" s="4" t="s">
        <v>147</v>
      </c>
      <c r="B63" s="4" t="s">
        <v>14</v>
      </c>
      <c r="C63" s="5">
        <v>45920</v>
      </c>
      <c r="D63" s="4" t="s">
        <v>16</v>
      </c>
      <c r="E63" s="6" t="s">
        <v>35</v>
      </c>
      <c r="F63" s="6" t="s">
        <v>70</v>
      </c>
      <c r="G63" s="16">
        <v>18633</v>
      </c>
      <c r="H63" s="16">
        <v>797</v>
      </c>
      <c r="I63" s="16">
        <v>303</v>
      </c>
      <c r="J63" s="19">
        <v>659</v>
      </c>
      <c r="K63" s="21">
        <v>7</v>
      </c>
      <c r="L63" s="19">
        <v>122189</v>
      </c>
      <c r="M63" s="4" t="s">
        <v>24</v>
      </c>
      <c r="N63" s="6">
        <f t="shared" si="0"/>
        <v>16.14957156536186</v>
      </c>
    </row>
    <row r="64" spans="1:14" x14ac:dyDescent="0.3">
      <c r="A64" s="4" t="s">
        <v>148</v>
      </c>
      <c r="B64" s="4" t="s">
        <v>26</v>
      </c>
      <c r="C64" s="5" t="s">
        <v>99</v>
      </c>
      <c r="D64" s="4" t="s">
        <v>16</v>
      </c>
      <c r="E64" s="6" t="s">
        <v>17</v>
      </c>
      <c r="F64" s="6" t="s">
        <v>18</v>
      </c>
      <c r="G64" s="16">
        <v>12357</v>
      </c>
      <c r="H64" s="16">
        <v>716</v>
      </c>
      <c r="I64" s="16">
        <v>599</v>
      </c>
      <c r="J64" s="19">
        <v>999</v>
      </c>
      <c r="K64" s="21">
        <v>89591</v>
      </c>
      <c r="L64" s="19">
        <v>116367</v>
      </c>
      <c r="M64" s="4" t="s">
        <v>19</v>
      </c>
      <c r="N64" s="6">
        <f t="shared" si="0"/>
        <v>11.749035379446063</v>
      </c>
    </row>
    <row r="65" spans="1:14" x14ac:dyDescent="0.3">
      <c r="A65" s="4" t="s">
        <v>149</v>
      </c>
      <c r="B65" s="4" t="s">
        <v>26</v>
      </c>
      <c r="C65" s="5" t="s">
        <v>150</v>
      </c>
      <c r="D65" s="4" t="s">
        <v>34</v>
      </c>
      <c r="E65" s="6" t="s">
        <v>40</v>
      </c>
      <c r="F65" s="6"/>
      <c r="G65" s="16">
        <v>19154</v>
      </c>
      <c r="H65" s="16">
        <v>1064</v>
      </c>
      <c r="I65" s="16">
        <v>650</v>
      </c>
      <c r="J65" s="19">
        <v>747</v>
      </c>
      <c r="K65" s="21">
        <v>42667</v>
      </c>
      <c r="L65" s="19">
        <v>242332</v>
      </c>
      <c r="M65" s="4" t="s">
        <v>31</v>
      </c>
      <c r="N65" s="6">
        <f t="shared" si="0"/>
        <v>8.6113266097750198</v>
      </c>
    </row>
    <row r="66" spans="1:14" x14ac:dyDescent="0.3">
      <c r="A66" s="4" t="s">
        <v>151</v>
      </c>
      <c r="B66" s="4" t="s">
        <v>14</v>
      </c>
      <c r="C66" s="5" t="s">
        <v>152</v>
      </c>
      <c r="D66" s="4" t="s">
        <v>28</v>
      </c>
      <c r="E66" s="6" t="s">
        <v>17</v>
      </c>
      <c r="F66" s="6" t="s">
        <v>18</v>
      </c>
      <c r="G66" s="16">
        <v>6363</v>
      </c>
      <c r="H66" s="16">
        <v>1341</v>
      </c>
      <c r="I66" s="16">
        <v>222</v>
      </c>
      <c r="J66" s="19">
        <v>2712</v>
      </c>
      <c r="K66" s="21">
        <v>19987</v>
      </c>
      <c r="L66" s="19">
        <v>160585</v>
      </c>
      <c r="M66" s="4" t="s">
        <v>31</v>
      </c>
      <c r="N66" s="6">
        <f t="shared" si="0"/>
        <v>4.935703832861102</v>
      </c>
    </row>
    <row r="67" spans="1:14" x14ac:dyDescent="0.3">
      <c r="A67" s="4" t="s">
        <v>153</v>
      </c>
      <c r="B67" s="4" t="s">
        <v>53</v>
      </c>
      <c r="C67" s="5" t="s">
        <v>154</v>
      </c>
      <c r="D67" s="4" t="s">
        <v>28</v>
      </c>
      <c r="E67" s="6" t="s">
        <v>48</v>
      </c>
      <c r="F67" s="6" t="s">
        <v>49</v>
      </c>
      <c r="G67" s="16">
        <v>12176</v>
      </c>
      <c r="H67" s="16">
        <v>1005</v>
      </c>
      <c r="I67" s="16">
        <v>862</v>
      </c>
      <c r="J67" s="19">
        <v>974</v>
      </c>
      <c r="K67" s="21">
        <v>2285</v>
      </c>
      <c r="L67" s="19">
        <v>116619</v>
      </c>
      <c r="M67" s="4" t="s">
        <v>37</v>
      </c>
      <c r="N67" s="6">
        <f t="shared" ref="N67:N69" si="1">(G67+H67+I67)/L67*100</f>
        <v>12.041777068916728</v>
      </c>
    </row>
    <row r="68" spans="1:14" x14ac:dyDescent="0.3">
      <c r="A68" s="4" t="s">
        <v>155</v>
      </c>
      <c r="B68" s="4" t="s">
        <v>21</v>
      </c>
      <c r="C68" s="5" t="s">
        <v>156</v>
      </c>
      <c r="D68" s="4" t="s">
        <v>34</v>
      </c>
      <c r="E68" s="6" t="s">
        <v>48</v>
      </c>
      <c r="F68" s="6" t="s">
        <v>49</v>
      </c>
      <c r="G68" s="16">
        <v>19461</v>
      </c>
      <c r="H68" s="16">
        <v>1382</v>
      </c>
      <c r="I68" s="16">
        <v>445</v>
      </c>
      <c r="J68" s="19">
        <v>1307</v>
      </c>
      <c r="K68" s="21">
        <v>84691</v>
      </c>
      <c r="L68" s="19">
        <v>151453</v>
      </c>
      <c r="M68" s="4" t="s">
        <v>37</v>
      </c>
      <c r="N68" s="6">
        <f t="shared" si="1"/>
        <v>14.055845707909384</v>
      </c>
    </row>
    <row r="69" spans="1:14" x14ac:dyDescent="0.3">
      <c r="A69" s="4" t="s">
        <v>157</v>
      </c>
      <c r="B69" s="4" t="s">
        <v>26</v>
      </c>
      <c r="C69" s="5" t="s">
        <v>158</v>
      </c>
      <c r="D69" s="4" t="s">
        <v>34</v>
      </c>
      <c r="E69" s="6" t="s">
        <v>22</v>
      </c>
      <c r="F69" s="6" t="s">
        <v>23</v>
      </c>
      <c r="G69" s="16">
        <v>10427</v>
      </c>
      <c r="H69" s="16">
        <v>1014</v>
      </c>
      <c r="I69" s="16">
        <v>166</v>
      </c>
      <c r="J69" s="19">
        <v>1649</v>
      </c>
      <c r="K69" s="21">
        <v>15145</v>
      </c>
      <c r="L69" s="19">
        <v>59816</v>
      </c>
      <c r="M69" s="4" t="s">
        <v>31</v>
      </c>
      <c r="N69" s="6">
        <f t="shared" si="1"/>
        <v>19.404507155276178</v>
      </c>
    </row>
    <row r="70" spans="1:14" x14ac:dyDescent="0.3">
      <c r="A70" s="4" t="s">
        <v>159</v>
      </c>
      <c r="B70" s="4" t="s">
        <v>21</v>
      </c>
      <c r="C70" s="5" t="s">
        <v>160</v>
      </c>
      <c r="D70" s="4" t="s">
        <v>28</v>
      </c>
      <c r="E70" s="6" t="s">
        <v>48</v>
      </c>
      <c r="F70" s="6" t="s">
        <v>49</v>
      </c>
      <c r="G70" s="16">
        <v>10580</v>
      </c>
      <c r="H70" s="16">
        <v>427</v>
      </c>
      <c r="I70" s="16">
        <v>790</v>
      </c>
      <c r="J70" s="19">
        <v>2814</v>
      </c>
      <c r="K70" s="21">
        <v>24916</v>
      </c>
      <c r="L70" s="19">
        <v>213312</v>
      </c>
      <c r="M70" s="4" t="s">
        <v>63</v>
      </c>
      <c r="N70" s="6">
        <f>(G70+H70+I70)/L70*100</f>
        <v>5.5303967896789681</v>
      </c>
    </row>
    <row r="71" spans="1:14" x14ac:dyDescent="0.3">
      <c r="A71" s="4" t="s">
        <v>161</v>
      </c>
      <c r="B71" s="4" t="s">
        <v>53</v>
      </c>
      <c r="C71" s="5" t="s">
        <v>162</v>
      </c>
      <c r="D71" s="4" t="s">
        <v>28</v>
      </c>
      <c r="E71" s="6" t="s">
        <v>55</v>
      </c>
      <c r="F71" s="6" t="s">
        <v>56</v>
      </c>
      <c r="G71" s="16">
        <v>6858</v>
      </c>
      <c r="H71" s="16">
        <v>415</v>
      </c>
      <c r="I71" s="16">
        <v>366</v>
      </c>
      <c r="J71" s="19">
        <v>2761</v>
      </c>
      <c r="K71" s="21">
        <v>2988</v>
      </c>
      <c r="L71" s="19">
        <v>177348</v>
      </c>
      <c r="M71" s="4" t="s">
        <v>19</v>
      </c>
      <c r="N71" s="6">
        <f t="shared" ref="N71:N95" si="2">(G71+H71+I71)/L71*100</f>
        <v>4.3073505198818136</v>
      </c>
    </row>
    <row r="72" spans="1:14" x14ac:dyDescent="0.3">
      <c r="A72" s="4" t="s">
        <v>163</v>
      </c>
      <c r="B72" s="4" t="s">
        <v>53</v>
      </c>
      <c r="C72" s="5" t="s">
        <v>164</v>
      </c>
      <c r="D72" s="4" t="s">
        <v>43</v>
      </c>
      <c r="E72" s="6" t="s">
        <v>35</v>
      </c>
      <c r="F72" s="6" t="s">
        <v>36</v>
      </c>
      <c r="G72" s="16">
        <v>12040</v>
      </c>
      <c r="H72" s="16">
        <v>1147</v>
      </c>
      <c r="I72" s="16">
        <v>210</v>
      </c>
      <c r="J72" s="19">
        <v>885</v>
      </c>
      <c r="K72" s="21">
        <v>30360</v>
      </c>
      <c r="L72" s="19">
        <v>119530</v>
      </c>
      <c r="M72" s="4" t="s">
        <v>37</v>
      </c>
      <c r="N72" s="6">
        <f t="shared" si="2"/>
        <v>11.20806492094035</v>
      </c>
    </row>
    <row r="73" spans="1:14" x14ac:dyDescent="0.3">
      <c r="A73" s="4" t="s">
        <v>165</v>
      </c>
      <c r="B73" s="4" t="s">
        <v>53</v>
      </c>
      <c r="C73" s="5" t="s">
        <v>166</v>
      </c>
      <c r="D73" s="4" t="s">
        <v>43</v>
      </c>
      <c r="E73" s="6" t="s">
        <v>35</v>
      </c>
      <c r="F73" s="6" t="s">
        <v>70</v>
      </c>
      <c r="G73" s="16">
        <v>24928</v>
      </c>
      <c r="H73" s="16">
        <v>214</v>
      </c>
      <c r="I73" s="16">
        <v>765</v>
      </c>
      <c r="J73" s="19">
        <v>1556</v>
      </c>
      <c r="K73" s="21">
        <v>5239</v>
      </c>
      <c r="L73" s="19">
        <v>194571</v>
      </c>
      <c r="M73" s="4" t="s">
        <v>63</v>
      </c>
      <c r="N73" s="6">
        <f t="shared" si="2"/>
        <v>13.314933880177415</v>
      </c>
    </row>
    <row r="74" spans="1:14" x14ac:dyDescent="0.3">
      <c r="A74" s="4" t="s">
        <v>167</v>
      </c>
      <c r="B74" s="4" t="s">
        <v>26</v>
      </c>
      <c r="C74" s="5">
        <v>45921</v>
      </c>
      <c r="D74" s="4" t="s">
        <v>34</v>
      </c>
      <c r="E74" s="6" t="s">
        <v>17</v>
      </c>
      <c r="F74" s="6" t="s">
        <v>18</v>
      </c>
      <c r="G74" s="16">
        <v>23103</v>
      </c>
      <c r="H74" s="16">
        <v>1380</v>
      </c>
      <c r="I74" s="16">
        <v>191</v>
      </c>
      <c r="J74" s="19">
        <v>1547</v>
      </c>
      <c r="K74" s="21">
        <v>77798</v>
      </c>
      <c r="L74" s="19">
        <v>148856</v>
      </c>
      <c r="M74" s="4" t="s">
        <v>24</v>
      </c>
      <c r="N74" s="6">
        <f t="shared" si="2"/>
        <v>16.575751061428495</v>
      </c>
    </row>
    <row r="75" spans="1:14" x14ac:dyDescent="0.3">
      <c r="A75" s="4" t="s">
        <v>168</v>
      </c>
      <c r="B75" s="4" t="s">
        <v>53</v>
      </c>
      <c r="C75" s="5" t="s">
        <v>169</v>
      </c>
      <c r="D75" s="4" t="s">
        <v>43</v>
      </c>
      <c r="E75" s="6" t="s">
        <v>35</v>
      </c>
      <c r="F75" s="6" t="s">
        <v>36</v>
      </c>
      <c r="G75" s="16">
        <v>21198</v>
      </c>
      <c r="H75" s="16">
        <v>1484</v>
      </c>
      <c r="I75" s="16">
        <v>174</v>
      </c>
      <c r="J75" s="19">
        <v>1293</v>
      </c>
      <c r="K75" s="21">
        <v>16330</v>
      </c>
      <c r="L75" s="19">
        <v>111635</v>
      </c>
      <c r="M75" s="4" t="s">
        <v>37</v>
      </c>
      <c r="N75" s="6">
        <f t="shared" si="2"/>
        <v>20.473865723115512</v>
      </c>
    </row>
    <row r="76" spans="1:14" x14ac:dyDescent="0.3">
      <c r="A76" s="4" t="s">
        <v>170</v>
      </c>
      <c r="B76" s="4" t="s">
        <v>26</v>
      </c>
      <c r="C76" s="5" t="s">
        <v>171</v>
      </c>
      <c r="D76" s="4" t="s">
        <v>16</v>
      </c>
      <c r="E76" s="6" t="s">
        <v>29</v>
      </c>
      <c r="F76" s="6" t="s">
        <v>30</v>
      </c>
      <c r="G76" s="16">
        <v>21758</v>
      </c>
      <c r="H76" s="16">
        <v>1380</v>
      </c>
      <c r="I76" s="16">
        <v>188</v>
      </c>
      <c r="J76" s="19">
        <v>1735</v>
      </c>
      <c r="K76" s="21">
        <v>20998</v>
      </c>
      <c r="L76" s="19">
        <v>147803</v>
      </c>
      <c r="M76" s="4" t="s">
        <v>63</v>
      </c>
      <c r="N76" s="6">
        <f t="shared" si="2"/>
        <v>15.781817689762725</v>
      </c>
    </row>
    <row r="77" spans="1:14" x14ac:dyDescent="0.3">
      <c r="A77" s="4" t="s">
        <v>172</v>
      </c>
      <c r="B77" s="4" t="s">
        <v>53</v>
      </c>
      <c r="C77" s="5" t="s">
        <v>173</v>
      </c>
      <c r="D77" s="4" t="s">
        <v>43</v>
      </c>
      <c r="E77" s="6" t="s">
        <v>40</v>
      </c>
      <c r="F77" s="6"/>
      <c r="G77" s="16">
        <v>17254</v>
      </c>
      <c r="H77" s="16">
        <v>246</v>
      </c>
      <c r="I77" s="16">
        <v>952</v>
      </c>
      <c r="J77" s="19">
        <v>871</v>
      </c>
      <c r="K77" s="21">
        <v>14957</v>
      </c>
      <c r="L77" s="19">
        <v>75946</v>
      </c>
      <c r="M77" s="4" t="s">
        <v>63</v>
      </c>
      <c r="N77" s="6">
        <f t="shared" si="2"/>
        <v>24.296210465330631</v>
      </c>
    </row>
    <row r="78" spans="1:14" x14ac:dyDescent="0.3">
      <c r="A78" s="4" t="s">
        <v>174</v>
      </c>
      <c r="B78" s="4" t="s">
        <v>21</v>
      </c>
      <c r="C78" s="5" t="s">
        <v>91</v>
      </c>
      <c r="D78" s="4" t="s">
        <v>43</v>
      </c>
      <c r="E78" s="6" t="s">
        <v>55</v>
      </c>
      <c r="F78" s="6" t="s">
        <v>56</v>
      </c>
      <c r="G78" s="16">
        <v>13470</v>
      </c>
      <c r="H78" s="16">
        <v>523</v>
      </c>
      <c r="I78" s="16">
        <v>280</v>
      </c>
      <c r="J78" s="19">
        <v>2682</v>
      </c>
      <c r="K78" s="21">
        <v>8538</v>
      </c>
      <c r="L78" s="19">
        <v>95204</v>
      </c>
      <c r="M78" s="4" t="s">
        <v>19</v>
      </c>
      <c r="N78" s="6">
        <f t="shared" si="2"/>
        <v>14.992017142136884</v>
      </c>
    </row>
    <row r="79" spans="1:14" x14ac:dyDescent="0.3">
      <c r="A79" s="4" t="s">
        <v>175</v>
      </c>
      <c r="B79" s="4" t="s">
        <v>21</v>
      </c>
      <c r="C79" s="5" t="s">
        <v>134</v>
      </c>
      <c r="D79" s="4" t="s">
        <v>16</v>
      </c>
      <c r="E79" s="6" t="s">
        <v>44</v>
      </c>
      <c r="F79" s="6" t="s">
        <v>45</v>
      </c>
      <c r="G79" s="16">
        <v>3252</v>
      </c>
      <c r="H79" s="16">
        <v>1043</v>
      </c>
      <c r="I79" s="16">
        <v>647</v>
      </c>
      <c r="J79" s="19">
        <v>1545</v>
      </c>
      <c r="K79" s="21">
        <v>18859</v>
      </c>
      <c r="L79" s="19">
        <v>222958</v>
      </c>
      <c r="M79" s="4" t="s">
        <v>19</v>
      </c>
      <c r="N79" s="6">
        <f t="shared" si="2"/>
        <v>2.2165609666394568</v>
      </c>
    </row>
    <row r="80" spans="1:14" x14ac:dyDescent="0.3">
      <c r="A80" s="4" t="s">
        <v>176</v>
      </c>
      <c r="B80" s="4" t="s">
        <v>14</v>
      </c>
      <c r="C80" s="5">
        <v>45922</v>
      </c>
      <c r="D80" s="4" t="s">
        <v>34</v>
      </c>
      <c r="E80" s="6" t="s">
        <v>177</v>
      </c>
      <c r="F80" s="6" t="s">
        <v>178</v>
      </c>
      <c r="G80" s="16">
        <v>8996</v>
      </c>
      <c r="H80" s="16">
        <v>329</v>
      </c>
      <c r="I80" s="16">
        <v>378</v>
      </c>
      <c r="J80" s="19">
        <v>2384</v>
      </c>
      <c r="K80" s="21">
        <v>39404</v>
      </c>
      <c r="L80" s="19">
        <v>242724</v>
      </c>
      <c r="M80" s="4" t="s">
        <v>24</v>
      </c>
      <c r="N80" s="6">
        <f t="shared" si="2"/>
        <v>3.997544536181012</v>
      </c>
    </row>
    <row r="81" spans="1:14" x14ac:dyDescent="0.3">
      <c r="A81" s="4" t="s">
        <v>179</v>
      </c>
      <c r="B81" s="4" t="s">
        <v>21</v>
      </c>
      <c r="C81" s="5" t="s">
        <v>128</v>
      </c>
      <c r="D81" s="4" t="s">
        <v>16</v>
      </c>
      <c r="E81" s="6" t="s">
        <v>17</v>
      </c>
      <c r="F81" s="6" t="s">
        <v>18</v>
      </c>
      <c r="G81" s="16">
        <v>14173</v>
      </c>
      <c r="H81" s="16">
        <v>294</v>
      </c>
      <c r="I81" s="16">
        <v>257</v>
      </c>
      <c r="J81" s="19">
        <v>1288</v>
      </c>
      <c r="K81" s="21">
        <v>39466</v>
      </c>
      <c r="L81" s="19">
        <v>55563</v>
      </c>
      <c r="M81" s="4" t="s">
        <v>63</v>
      </c>
      <c r="N81" s="6">
        <f t="shared" si="2"/>
        <v>26.499649047027695</v>
      </c>
    </row>
    <row r="82" spans="1:14" x14ac:dyDescent="0.3">
      <c r="A82" s="4" t="s">
        <v>180</v>
      </c>
      <c r="B82" s="4" t="s">
        <v>14</v>
      </c>
      <c r="C82" s="5" t="s">
        <v>181</v>
      </c>
      <c r="D82" s="4" t="s">
        <v>43</v>
      </c>
      <c r="E82" s="6" t="s">
        <v>35</v>
      </c>
      <c r="F82" s="6" t="s">
        <v>36</v>
      </c>
      <c r="G82" s="16">
        <v>6673</v>
      </c>
      <c r="H82" s="16">
        <v>826</v>
      </c>
      <c r="I82" s="16">
        <v>321</v>
      </c>
      <c r="J82" s="19">
        <v>577</v>
      </c>
      <c r="K82" s="21">
        <v>19262</v>
      </c>
      <c r="L82" s="19">
        <v>132324</v>
      </c>
      <c r="M82" s="4" t="s">
        <v>63</v>
      </c>
      <c r="N82" s="6">
        <f t="shared" si="2"/>
        <v>5.9097367068710129</v>
      </c>
    </row>
    <row r="83" spans="1:14" x14ac:dyDescent="0.3">
      <c r="A83" s="4" t="s">
        <v>182</v>
      </c>
      <c r="B83" s="4" t="s">
        <v>21</v>
      </c>
      <c r="C83" s="5" t="s">
        <v>183</v>
      </c>
      <c r="D83" s="4" t="s">
        <v>34</v>
      </c>
      <c r="E83" s="6" t="s">
        <v>44</v>
      </c>
      <c r="F83" s="6" t="s">
        <v>45</v>
      </c>
      <c r="G83" s="16">
        <v>22914</v>
      </c>
      <c r="H83" s="16">
        <v>954</v>
      </c>
      <c r="I83" s="16">
        <v>584</v>
      </c>
      <c r="J83" s="19">
        <v>1519</v>
      </c>
      <c r="K83" s="21">
        <v>13637</v>
      </c>
      <c r="L83" s="19">
        <v>49847</v>
      </c>
      <c r="M83" s="4" t="s">
        <v>19</v>
      </c>
      <c r="N83" s="6">
        <f t="shared" si="2"/>
        <v>49.054105563022851</v>
      </c>
    </row>
    <row r="84" spans="1:14" x14ac:dyDescent="0.3">
      <c r="A84" s="4" t="s">
        <v>184</v>
      </c>
      <c r="B84" s="4" t="s">
        <v>26</v>
      </c>
      <c r="C84" s="5" t="s">
        <v>185</v>
      </c>
      <c r="D84" s="4" t="s">
        <v>43</v>
      </c>
      <c r="E84" s="6" t="s">
        <v>40</v>
      </c>
      <c r="F84" s="6"/>
      <c r="G84" s="16">
        <v>17781</v>
      </c>
      <c r="H84" s="16">
        <v>993</v>
      </c>
      <c r="I84" s="16">
        <v>627</v>
      </c>
      <c r="J84" s="19">
        <v>2187</v>
      </c>
      <c r="K84" s="21">
        <v>9609</v>
      </c>
      <c r="L84" s="19">
        <v>66155</v>
      </c>
      <c r="M84" s="4" t="s">
        <v>37</v>
      </c>
      <c r="N84" s="6">
        <f t="shared" si="2"/>
        <v>29.326581513113144</v>
      </c>
    </row>
    <row r="85" spans="1:14" x14ac:dyDescent="0.3">
      <c r="A85" s="4" t="s">
        <v>186</v>
      </c>
      <c r="B85" s="4" t="s">
        <v>21</v>
      </c>
      <c r="C85" s="5" t="s">
        <v>187</v>
      </c>
      <c r="D85" s="4" t="s">
        <v>16</v>
      </c>
      <c r="E85" s="6" t="s">
        <v>22</v>
      </c>
      <c r="F85" s="6" t="s">
        <v>23</v>
      </c>
      <c r="G85" s="16">
        <v>15051</v>
      </c>
      <c r="H85" s="16">
        <v>268</v>
      </c>
      <c r="I85" s="16">
        <v>251</v>
      </c>
      <c r="J85" s="19">
        <v>783</v>
      </c>
      <c r="K85" s="21">
        <v>34154</v>
      </c>
      <c r="L85" s="19">
        <v>119671</v>
      </c>
      <c r="M85" s="4" t="s">
        <v>37</v>
      </c>
      <c r="N85" s="6">
        <f t="shared" si="2"/>
        <v>13.010670922779955</v>
      </c>
    </row>
    <row r="86" spans="1:14" x14ac:dyDescent="0.3">
      <c r="A86" s="4" t="s">
        <v>188</v>
      </c>
      <c r="B86" s="4" t="s">
        <v>14</v>
      </c>
      <c r="C86" s="5" t="s">
        <v>105</v>
      </c>
      <c r="D86" s="4" t="s">
        <v>16</v>
      </c>
      <c r="E86" s="6" t="s">
        <v>44</v>
      </c>
      <c r="F86" s="6" t="s">
        <v>45</v>
      </c>
      <c r="G86" s="16">
        <v>8881</v>
      </c>
      <c r="H86" s="16">
        <v>210</v>
      </c>
      <c r="I86" s="16">
        <v>673</v>
      </c>
      <c r="J86" s="19">
        <v>1565</v>
      </c>
      <c r="K86" s="21">
        <v>24847</v>
      </c>
      <c r="L86" s="19">
        <v>156891</v>
      </c>
      <c r="M86" s="4" t="s">
        <v>31</v>
      </c>
      <c r="N86" s="6">
        <f t="shared" si="2"/>
        <v>6.2234290048505008</v>
      </c>
    </row>
    <row r="87" spans="1:14" x14ac:dyDescent="0.3">
      <c r="A87" s="4" t="s">
        <v>189</v>
      </c>
      <c r="B87" s="4" t="s">
        <v>14</v>
      </c>
      <c r="C87" s="5" t="s">
        <v>190</v>
      </c>
      <c r="D87" s="4" t="s">
        <v>43</v>
      </c>
      <c r="E87" s="6" t="s">
        <v>55</v>
      </c>
      <c r="F87" s="6" t="s">
        <v>56</v>
      </c>
      <c r="G87" s="16">
        <v>8949</v>
      </c>
      <c r="H87" s="16">
        <v>1477</v>
      </c>
      <c r="I87" s="16">
        <v>424</v>
      </c>
      <c r="J87" s="19">
        <v>1030</v>
      </c>
      <c r="K87" s="21">
        <v>58052</v>
      </c>
      <c r="L87" s="19">
        <v>123310</v>
      </c>
      <c r="M87" s="4" t="s">
        <v>19</v>
      </c>
      <c r="N87" s="6">
        <f t="shared" si="2"/>
        <v>8.798961965777309</v>
      </c>
    </row>
    <row r="88" spans="1:14" x14ac:dyDescent="0.3">
      <c r="A88" s="4" t="s">
        <v>191</v>
      </c>
      <c r="B88" s="4" t="s">
        <v>53</v>
      </c>
      <c r="C88" s="5" t="s">
        <v>192</v>
      </c>
      <c r="D88" s="4" t="s">
        <v>28</v>
      </c>
      <c r="E88" s="6" t="s">
        <v>55</v>
      </c>
      <c r="F88" s="6" t="s">
        <v>56</v>
      </c>
      <c r="G88" s="16">
        <v>11521</v>
      </c>
      <c r="H88" s="16">
        <v>1071</v>
      </c>
      <c r="I88" s="16">
        <v>762</v>
      </c>
      <c r="J88" s="19">
        <v>2539</v>
      </c>
      <c r="K88" s="21">
        <v>12701</v>
      </c>
      <c r="L88" s="19">
        <v>238350</v>
      </c>
      <c r="M88" s="4" t="s">
        <v>31</v>
      </c>
      <c r="N88" s="6">
        <f t="shared" si="2"/>
        <v>5.602685126914202</v>
      </c>
    </row>
    <row r="89" spans="1:14" x14ac:dyDescent="0.3">
      <c r="A89" s="4" t="s">
        <v>193</v>
      </c>
      <c r="B89" s="4" t="s">
        <v>26</v>
      </c>
      <c r="C89" s="5" t="s">
        <v>194</v>
      </c>
      <c r="D89" s="4" t="s">
        <v>28</v>
      </c>
      <c r="E89" s="6" t="s">
        <v>22</v>
      </c>
      <c r="F89" s="6" t="s">
        <v>23</v>
      </c>
      <c r="G89" s="16">
        <v>24625</v>
      </c>
      <c r="H89" s="16">
        <v>749</v>
      </c>
      <c r="I89" s="16">
        <v>193</v>
      </c>
      <c r="J89" s="19">
        <v>1340</v>
      </c>
      <c r="K89" s="21">
        <v>4890</v>
      </c>
      <c r="L89" s="19">
        <v>189381</v>
      </c>
      <c r="M89" s="4" t="s">
        <v>19</v>
      </c>
      <c r="N89" s="6">
        <f t="shared" si="2"/>
        <v>13.500298340382615</v>
      </c>
    </row>
    <row r="90" spans="1:14" x14ac:dyDescent="0.3">
      <c r="A90" s="4" t="s">
        <v>195</v>
      </c>
      <c r="B90" s="4" t="s">
        <v>21</v>
      </c>
      <c r="C90" s="5">
        <v>45923</v>
      </c>
      <c r="D90" s="4" t="s">
        <v>16</v>
      </c>
      <c r="E90" s="6" t="s">
        <v>177</v>
      </c>
      <c r="F90" s="6" t="s">
        <v>178</v>
      </c>
      <c r="G90" s="16">
        <v>10017</v>
      </c>
      <c r="H90" s="16">
        <v>1357</v>
      </c>
      <c r="I90" s="16">
        <v>966</v>
      </c>
      <c r="J90" s="19">
        <v>2871</v>
      </c>
      <c r="K90" s="21">
        <v>14800</v>
      </c>
      <c r="L90" s="19">
        <v>171691</v>
      </c>
      <c r="M90" s="4" t="s">
        <v>24</v>
      </c>
      <c r="N90" s="6">
        <f t="shared" si="2"/>
        <v>7.1873307278774075</v>
      </c>
    </row>
    <row r="91" spans="1:14" x14ac:dyDescent="0.3">
      <c r="A91" s="4" t="s">
        <v>196</v>
      </c>
      <c r="B91" s="4" t="s">
        <v>53</v>
      </c>
      <c r="C91" s="5" t="s">
        <v>197</v>
      </c>
      <c r="D91" s="4" t="s">
        <v>16</v>
      </c>
      <c r="E91" s="6" t="s">
        <v>35</v>
      </c>
      <c r="F91" s="6" t="s">
        <v>70</v>
      </c>
      <c r="G91" s="16">
        <v>8941</v>
      </c>
      <c r="H91" s="16">
        <v>911</v>
      </c>
      <c r="I91" s="16">
        <v>166</v>
      </c>
      <c r="J91" s="19">
        <v>1217</v>
      </c>
      <c r="K91" s="21">
        <v>68817</v>
      </c>
      <c r="L91" s="19">
        <v>221180</v>
      </c>
      <c r="M91" s="4" t="s">
        <v>63</v>
      </c>
      <c r="N91" s="6">
        <f t="shared" si="2"/>
        <v>4.5293426168731354</v>
      </c>
    </row>
    <row r="92" spans="1:14" x14ac:dyDescent="0.3">
      <c r="A92" s="4" t="s">
        <v>198</v>
      </c>
      <c r="B92" s="4" t="s">
        <v>21</v>
      </c>
      <c r="C92" s="5">
        <v>45924</v>
      </c>
      <c r="D92" s="4" t="s">
        <v>28</v>
      </c>
      <c r="E92" s="6" t="s">
        <v>44</v>
      </c>
      <c r="F92" s="6" t="s">
        <v>45</v>
      </c>
      <c r="G92" s="16">
        <v>12209</v>
      </c>
      <c r="H92" s="16">
        <v>222</v>
      </c>
      <c r="I92" s="16">
        <v>479</v>
      </c>
      <c r="J92" s="19">
        <v>2748</v>
      </c>
      <c r="K92" s="21">
        <v>24615</v>
      </c>
      <c r="L92" s="19">
        <v>74707</v>
      </c>
      <c r="M92" s="4" t="s">
        <v>24</v>
      </c>
      <c r="N92" s="6">
        <f t="shared" si="2"/>
        <v>17.28084382989546</v>
      </c>
    </row>
    <row r="93" spans="1:14" x14ac:dyDescent="0.3">
      <c r="A93" s="4" t="s">
        <v>199</v>
      </c>
      <c r="B93" s="4" t="s">
        <v>21</v>
      </c>
      <c r="C93" s="5" t="s">
        <v>138</v>
      </c>
      <c r="D93" s="4" t="s">
        <v>28</v>
      </c>
      <c r="E93" s="6" t="s">
        <v>22</v>
      </c>
      <c r="F93" s="6" t="s">
        <v>23</v>
      </c>
      <c r="G93" s="16">
        <v>19715</v>
      </c>
      <c r="H93" s="16">
        <v>1014</v>
      </c>
      <c r="I93" s="16">
        <v>718</v>
      </c>
      <c r="J93" s="19">
        <v>1185</v>
      </c>
      <c r="K93" s="21">
        <v>37625</v>
      </c>
      <c r="L93" s="19">
        <v>191409</v>
      </c>
      <c r="M93" s="4" t="s">
        <v>19</v>
      </c>
      <c r="N93" s="6">
        <f t="shared" si="2"/>
        <v>11.204802282024357</v>
      </c>
    </row>
    <row r="94" spans="1:14" x14ac:dyDescent="0.3">
      <c r="A94" s="4" t="s">
        <v>200</v>
      </c>
      <c r="B94" s="4" t="s">
        <v>53</v>
      </c>
      <c r="C94" s="5" t="s">
        <v>201</v>
      </c>
      <c r="D94" s="4" t="s">
        <v>43</v>
      </c>
      <c r="E94" s="6" t="s">
        <v>55</v>
      </c>
      <c r="F94" s="6" t="s">
        <v>56</v>
      </c>
      <c r="G94" s="16">
        <v>22645</v>
      </c>
      <c r="H94" s="16">
        <v>545</v>
      </c>
      <c r="I94" s="16">
        <v>972</v>
      </c>
      <c r="J94" s="19">
        <v>321</v>
      </c>
      <c r="K94" s="21">
        <v>8396</v>
      </c>
      <c r="L94" s="19">
        <v>121537</v>
      </c>
      <c r="M94" s="4" t="s">
        <v>63</v>
      </c>
      <c r="N94" s="6">
        <f t="shared" si="2"/>
        <v>19.880365649966677</v>
      </c>
    </row>
    <row r="95" spans="1:14" x14ac:dyDescent="0.3">
      <c r="A95" s="4" t="s">
        <v>202</v>
      </c>
      <c r="B95" s="4" t="s">
        <v>53</v>
      </c>
      <c r="C95" s="5" t="s">
        <v>173</v>
      </c>
      <c r="D95" s="4" t="s">
        <v>43</v>
      </c>
      <c r="E95" s="6" t="s">
        <v>55</v>
      </c>
      <c r="F95" s="6" t="s">
        <v>56</v>
      </c>
      <c r="G95" s="16">
        <v>11550</v>
      </c>
      <c r="H95" s="16">
        <v>501</v>
      </c>
      <c r="I95" s="16">
        <v>646</v>
      </c>
      <c r="J95" s="19">
        <v>773</v>
      </c>
      <c r="K95" s="21">
        <v>17841</v>
      </c>
      <c r="L95" s="19">
        <v>237576</v>
      </c>
      <c r="M95" s="4" t="s">
        <v>37</v>
      </c>
      <c r="N95" s="6">
        <f t="shared" si="2"/>
        <v>5.3443950567397387</v>
      </c>
    </row>
    <row r="96" spans="1:14" x14ac:dyDescent="0.3">
      <c r="A96" s="4" t="s">
        <v>203</v>
      </c>
      <c r="B96" s="4" t="s">
        <v>53</v>
      </c>
      <c r="C96" s="5" t="s">
        <v>204</v>
      </c>
      <c r="D96" s="4" t="s">
        <v>28</v>
      </c>
      <c r="E96" s="6" t="s">
        <v>35</v>
      </c>
      <c r="F96" s="6" t="s">
        <v>36</v>
      </c>
      <c r="G96" s="16">
        <v>23499</v>
      </c>
      <c r="H96" s="16">
        <v>562</v>
      </c>
      <c r="I96" s="16">
        <v>964</v>
      </c>
      <c r="J96" s="19">
        <v>2557</v>
      </c>
      <c r="K96" s="21">
        <v>56890</v>
      </c>
      <c r="L96" s="19">
        <v>218686</v>
      </c>
      <c r="M96" s="4" t="s">
        <v>37</v>
      </c>
      <c r="N96" s="6">
        <f>(G96+H96+I96)/L96*100</f>
        <v>11.443347996671026</v>
      </c>
    </row>
    <row r="97" spans="1:14" x14ac:dyDescent="0.3">
      <c r="A97" s="4" t="s">
        <v>205</v>
      </c>
      <c r="B97" s="4" t="s">
        <v>53</v>
      </c>
      <c r="C97" s="5" t="s">
        <v>206</v>
      </c>
      <c r="D97" s="4" t="s">
        <v>43</v>
      </c>
      <c r="E97" s="6" t="s">
        <v>48</v>
      </c>
      <c r="F97" s="6" t="s">
        <v>49</v>
      </c>
      <c r="G97" s="16">
        <v>6637</v>
      </c>
      <c r="H97" s="16">
        <v>595</v>
      </c>
      <c r="I97" s="16">
        <v>161</v>
      </c>
      <c r="J97" s="19">
        <v>2653</v>
      </c>
      <c r="K97" s="21">
        <v>19334</v>
      </c>
      <c r="L97" s="19">
        <v>131155</v>
      </c>
      <c r="M97" s="4" t="s">
        <v>31</v>
      </c>
      <c r="N97" s="6">
        <f t="shared" ref="N97:N119" si="3">(G97+H97+I97)/L97*100</f>
        <v>5.6368419046166744</v>
      </c>
    </row>
    <row r="98" spans="1:14" x14ac:dyDescent="0.3">
      <c r="A98" s="4" t="s">
        <v>207</v>
      </c>
      <c r="B98" s="4" t="s">
        <v>53</v>
      </c>
      <c r="C98" s="5" t="s">
        <v>208</v>
      </c>
      <c r="D98" s="4" t="s">
        <v>43</v>
      </c>
      <c r="E98" s="6" t="s">
        <v>177</v>
      </c>
      <c r="F98" s="6" t="s">
        <v>178</v>
      </c>
      <c r="G98" s="16">
        <v>6854</v>
      </c>
      <c r="H98" s="16">
        <v>417</v>
      </c>
      <c r="I98" s="16">
        <v>467</v>
      </c>
      <c r="J98" s="19">
        <v>1003</v>
      </c>
      <c r="K98" s="21">
        <v>61333</v>
      </c>
      <c r="L98" s="19">
        <v>40281</v>
      </c>
      <c r="M98" s="4" t="s">
        <v>19</v>
      </c>
      <c r="N98" s="6">
        <f t="shared" si="3"/>
        <v>19.210049402944314</v>
      </c>
    </row>
    <row r="99" spans="1:14" x14ac:dyDescent="0.3">
      <c r="A99" s="4" t="s">
        <v>209</v>
      </c>
      <c r="B99" s="4" t="s">
        <v>21</v>
      </c>
      <c r="C99" s="5" t="s">
        <v>210</v>
      </c>
      <c r="D99" s="4" t="s">
        <v>34</v>
      </c>
      <c r="E99" s="6" t="s">
        <v>44</v>
      </c>
      <c r="F99" s="6" t="s">
        <v>45</v>
      </c>
      <c r="G99" s="16">
        <v>21561</v>
      </c>
      <c r="H99" s="16">
        <v>340</v>
      </c>
      <c r="I99" s="16">
        <v>741</v>
      </c>
      <c r="J99" s="19">
        <v>986</v>
      </c>
      <c r="K99" s="21">
        <v>24826</v>
      </c>
      <c r="L99" s="19">
        <v>198492</v>
      </c>
      <c r="M99" s="4" t="s">
        <v>19</v>
      </c>
      <c r="N99" s="6">
        <f t="shared" si="3"/>
        <v>11.40700884670415</v>
      </c>
    </row>
    <row r="100" spans="1:14" x14ac:dyDescent="0.3">
      <c r="A100" s="4" t="s">
        <v>211</v>
      </c>
      <c r="B100" s="4" t="s">
        <v>53</v>
      </c>
      <c r="C100" s="5" t="s">
        <v>212</v>
      </c>
      <c r="D100" s="4" t="s">
        <v>43</v>
      </c>
      <c r="E100" s="6" t="s">
        <v>44</v>
      </c>
      <c r="F100" s="6" t="s">
        <v>45</v>
      </c>
      <c r="G100" s="16">
        <v>12320</v>
      </c>
      <c r="H100" s="16">
        <v>1157</v>
      </c>
      <c r="I100" s="16">
        <v>365</v>
      </c>
      <c r="J100" s="19">
        <v>584</v>
      </c>
      <c r="K100" s="21">
        <v>66634</v>
      </c>
      <c r="L100" s="19">
        <v>210102</v>
      </c>
      <c r="M100" s="4" t="s">
        <v>37</v>
      </c>
      <c r="N100" s="6">
        <f t="shared" si="3"/>
        <v>6.5882285746922928</v>
      </c>
    </row>
    <row r="101" spans="1:14" x14ac:dyDescent="0.3">
      <c r="A101" s="4" t="s">
        <v>213</v>
      </c>
      <c r="B101" s="4" t="s">
        <v>26</v>
      </c>
      <c r="C101" s="5">
        <v>45925</v>
      </c>
      <c r="D101" s="4" t="s">
        <v>16</v>
      </c>
      <c r="E101" s="6" t="s">
        <v>40</v>
      </c>
      <c r="F101" s="6"/>
      <c r="G101" s="16">
        <v>20564</v>
      </c>
      <c r="H101" s="16">
        <v>1433</v>
      </c>
      <c r="I101" s="16">
        <v>488</v>
      </c>
      <c r="J101" s="19">
        <v>1015</v>
      </c>
      <c r="K101" s="21">
        <v>24333</v>
      </c>
      <c r="L101" s="19">
        <v>172130</v>
      </c>
      <c r="M101" s="4" t="s">
        <v>24</v>
      </c>
      <c r="N101" s="6">
        <f t="shared" si="3"/>
        <v>13.062801371056759</v>
      </c>
    </row>
    <row r="102" spans="1:14" x14ac:dyDescent="0.3">
      <c r="A102" s="4" t="s">
        <v>214</v>
      </c>
      <c r="B102" s="4" t="s">
        <v>14</v>
      </c>
      <c r="C102" s="5" t="s">
        <v>215</v>
      </c>
      <c r="D102" s="4" t="s">
        <v>43</v>
      </c>
      <c r="E102" s="6" t="s">
        <v>22</v>
      </c>
      <c r="F102" s="6" t="s">
        <v>23</v>
      </c>
      <c r="G102" s="16">
        <v>6892</v>
      </c>
      <c r="H102" s="16">
        <v>1184</v>
      </c>
      <c r="I102" s="16">
        <v>925</v>
      </c>
      <c r="J102" s="19">
        <v>1062</v>
      </c>
      <c r="K102" s="21">
        <v>75008</v>
      </c>
      <c r="L102" s="19">
        <v>116260</v>
      </c>
      <c r="M102" s="4" t="s">
        <v>63</v>
      </c>
      <c r="N102" s="6">
        <f t="shared" si="3"/>
        <v>7.7421297092723202</v>
      </c>
    </row>
    <row r="103" spans="1:14" x14ac:dyDescent="0.3">
      <c r="A103" s="4" t="s">
        <v>216</v>
      </c>
      <c r="B103" s="4" t="s">
        <v>53</v>
      </c>
      <c r="C103" s="5">
        <v>45926</v>
      </c>
      <c r="D103" s="4" t="s">
        <v>43</v>
      </c>
      <c r="E103" s="6" t="s">
        <v>40</v>
      </c>
      <c r="F103" s="6"/>
      <c r="G103" s="16">
        <v>9043</v>
      </c>
      <c r="H103" s="16">
        <v>1192</v>
      </c>
      <c r="I103" s="16">
        <v>810</v>
      </c>
      <c r="J103" s="19">
        <v>1550</v>
      </c>
      <c r="K103" s="21">
        <v>5221</v>
      </c>
      <c r="L103" s="19">
        <v>199476</v>
      </c>
      <c r="M103" s="4" t="s">
        <v>24</v>
      </c>
      <c r="N103" s="6">
        <f t="shared" si="3"/>
        <v>5.5370069582305641</v>
      </c>
    </row>
    <row r="104" spans="1:14" x14ac:dyDescent="0.3">
      <c r="A104" s="4" t="s">
        <v>217</v>
      </c>
      <c r="B104" s="4" t="s">
        <v>53</v>
      </c>
      <c r="C104" s="5">
        <v>45927</v>
      </c>
      <c r="D104" s="4" t="s">
        <v>28</v>
      </c>
      <c r="E104" s="6" t="s">
        <v>22</v>
      </c>
      <c r="F104" s="6" t="s">
        <v>23</v>
      </c>
      <c r="G104" s="16">
        <v>18521</v>
      </c>
      <c r="H104" s="16">
        <v>1027</v>
      </c>
      <c r="I104" s="16">
        <v>230</v>
      </c>
      <c r="J104" s="19">
        <v>1247</v>
      </c>
      <c r="K104" s="21">
        <v>39588</v>
      </c>
      <c r="L104" s="19">
        <v>200928</v>
      </c>
      <c r="M104" s="4" t="s">
        <v>24</v>
      </c>
      <c r="N104" s="6">
        <f t="shared" si="3"/>
        <v>9.8433269628921813</v>
      </c>
    </row>
    <row r="105" spans="1:14" x14ac:dyDescent="0.3">
      <c r="A105" s="4" t="s">
        <v>218</v>
      </c>
      <c r="B105" s="4" t="s">
        <v>21</v>
      </c>
      <c r="C105" s="5" t="s">
        <v>219</v>
      </c>
      <c r="D105" s="4" t="s">
        <v>16</v>
      </c>
      <c r="E105" s="6" t="s">
        <v>29</v>
      </c>
      <c r="F105" s="6" t="s">
        <v>30</v>
      </c>
      <c r="G105" s="16">
        <v>24711</v>
      </c>
      <c r="H105" s="16">
        <v>882</v>
      </c>
      <c r="I105" s="16">
        <v>876</v>
      </c>
      <c r="J105" s="19">
        <v>2728</v>
      </c>
      <c r="K105" s="21">
        <v>32015</v>
      </c>
      <c r="L105" s="19">
        <v>180272</v>
      </c>
      <c r="M105" s="4" t="s">
        <v>37</v>
      </c>
      <c r="N105" s="6">
        <f t="shared" si="3"/>
        <v>14.68281263867933</v>
      </c>
    </row>
    <row r="106" spans="1:14" x14ac:dyDescent="0.3">
      <c r="A106" s="4" t="s">
        <v>220</v>
      </c>
      <c r="B106" s="4" t="s">
        <v>53</v>
      </c>
      <c r="C106" s="5" t="s">
        <v>221</v>
      </c>
      <c r="D106" s="4" t="s">
        <v>43</v>
      </c>
      <c r="E106" s="6" t="s">
        <v>55</v>
      </c>
      <c r="F106" s="6" t="s">
        <v>56</v>
      </c>
      <c r="G106" s="16">
        <v>21856</v>
      </c>
      <c r="H106" s="16">
        <v>1203</v>
      </c>
      <c r="I106" s="16">
        <v>634</v>
      </c>
      <c r="J106" s="19">
        <v>2807</v>
      </c>
      <c r="K106" s="21">
        <v>3647</v>
      </c>
      <c r="L106" s="19">
        <v>104178</v>
      </c>
      <c r="M106" s="4" t="s">
        <v>37</v>
      </c>
      <c r="N106" s="6">
        <f t="shared" si="3"/>
        <v>22.742805582752595</v>
      </c>
    </row>
    <row r="107" spans="1:14" x14ac:dyDescent="0.3">
      <c r="A107" s="4" t="s">
        <v>222</v>
      </c>
      <c r="B107" s="4" t="s">
        <v>53</v>
      </c>
      <c r="C107" s="5" t="s">
        <v>223</v>
      </c>
      <c r="D107" s="4" t="s">
        <v>43</v>
      </c>
      <c r="E107" s="6" t="s">
        <v>48</v>
      </c>
      <c r="F107" s="6" t="s">
        <v>49</v>
      </c>
      <c r="G107" s="16">
        <v>23833</v>
      </c>
      <c r="H107" s="16">
        <v>555</v>
      </c>
      <c r="I107" s="16">
        <v>523</v>
      </c>
      <c r="J107" s="19">
        <v>1330</v>
      </c>
      <c r="K107" s="21">
        <v>69141</v>
      </c>
      <c r="L107" s="19">
        <v>73997</v>
      </c>
      <c r="M107" s="4" t="s">
        <v>37</v>
      </c>
      <c r="N107" s="6">
        <f t="shared" si="3"/>
        <v>33.664878305877266</v>
      </c>
    </row>
    <row r="108" spans="1:14" x14ac:dyDescent="0.3">
      <c r="A108" s="4" t="s">
        <v>224</v>
      </c>
      <c r="B108" s="4" t="s">
        <v>53</v>
      </c>
      <c r="C108" s="5" t="s">
        <v>225</v>
      </c>
      <c r="D108" s="4" t="s">
        <v>34</v>
      </c>
      <c r="E108" s="6" t="s">
        <v>35</v>
      </c>
      <c r="F108" s="6" t="s">
        <v>36</v>
      </c>
      <c r="G108" s="16">
        <v>21216</v>
      </c>
      <c r="H108" s="16">
        <v>1207</v>
      </c>
      <c r="I108" s="16">
        <v>859</v>
      </c>
      <c r="J108" s="19">
        <v>328</v>
      </c>
      <c r="K108" s="21">
        <v>91296</v>
      </c>
      <c r="L108" s="19">
        <v>196683</v>
      </c>
      <c r="M108" s="4" t="s">
        <v>31</v>
      </c>
      <c r="N108" s="6">
        <f t="shared" si="3"/>
        <v>11.837321985123269</v>
      </c>
    </row>
    <row r="109" spans="1:14" x14ac:dyDescent="0.3">
      <c r="A109" s="4" t="s">
        <v>226</v>
      </c>
      <c r="B109" s="4" t="s">
        <v>21</v>
      </c>
      <c r="C109" s="5">
        <v>45928</v>
      </c>
      <c r="D109" s="4" t="s">
        <v>43</v>
      </c>
      <c r="E109" s="6" t="s">
        <v>48</v>
      </c>
      <c r="F109" s="6" t="s">
        <v>49</v>
      </c>
      <c r="G109" s="16">
        <v>21963</v>
      </c>
      <c r="H109" s="16">
        <v>1356</v>
      </c>
      <c r="I109" s="16">
        <v>349</v>
      </c>
      <c r="J109" s="19">
        <v>1206</v>
      </c>
      <c r="K109" s="21">
        <v>51755</v>
      </c>
      <c r="L109" s="19">
        <v>159273</v>
      </c>
      <c r="M109" s="4" t="s">
        <v>24</v>
      </c>
      <c r="N109" s="6">
        <f t="shared" si="3"/>
        <v>14.860020216860359</v>
      </c>
    </row>
    <row r="110" spans="1:14" x14ac:dyDescent="0.3">
      <c r="A110" s="4" t="s">
        <v>227</v>
      </c>
      <c r="B110" s="4" t="s">
        <v>53</v>
      </c>
      <c r="C110" s="5" t="s">
        <v>228</v>
      </c>
      <c r="D110" s="4" t="s">
        <v>43</v>
      </c>
      <c r="E110" s="6" t="s">
        <v>48</v>
      </c>
      <c r="F110" s="6" t="s">
        <v>49</v>
      </c>
      <c r="G110" s="16">
        <v>24355</v>
      </c>
      <c r="H110" s="16">
        <v>1087</v>
      </c>
      <c r="I110" s="16">
        <v>686</v>
      </c>
      <c r="J110" s="19">
        <v>2426</v>
      </c>
      <c r="K110" s="21">
        <v>24963</v>
      </c>
      <c r="L110" s="19">
        <v>212307</v>
      </c>
      <c r="M110" s="4" t="s">
        <v>19</v>
      </c>
      <c r="N110" s="6">
        <f t="shared" si="3"/>
        <v>12.306706797232311</v>
      </c>
    </row>
    <row r="111" spans="1:14" x14ac:dyDescent="0.3">
      <c r="A111" s="4" t="s">
        <v>229</v>
      </c>
      <c r="B111" s="4" t="s">
        <v>14</v>
      </c>
      <c r="C111" s="5" t="s">
        <v>230</v>
      </c>
      <c r="D111" s="4" t="s">
        <v>34</v>
      </c>
      <c r="E111" s="6" t="s">
        <v>48</v>
      </c>
      <c r="F111" s="6" t="s">
        <v>49</v>
      </c>
      <c r="G111" s="16">
        <v>6164</v>
      </c>
      <c r="H111" s="16">
        <v>326</v>
      </c>
      <c r="I111" s="16">
        <v>615</v>
      </c>
      <c r="J111" s="19">
        <v>2806</v>
      </c>
      <c r="K111" s="21">
        <v>38579</v>
      </c>
      <c r="L111" s="19">
        <v>206129</v>
      </c>
      <c r="M111" s="4" t="s">
        <v>63</v>
      </c>
      <c r="N111" s="6">
        <f t="shared" si="3"/>
        <v>3.4468706489625425</v>
      </c>
    </row>
    <row r="112" spans="1:14" x14ac:dyDescent="0.3">
      <c r="A112" s="4" t="s">
        <v>231</v>
      </c>
      <c r="B112" s="4" t="s">
        <v>21</v>
      </c>
      <c r="C112" s="5" t="s">
        <v>232</v>
      </c>
      <c r="D112" s="4" t="s">
        <v>28</v>
      </c>
      <c r="E112" s="6" t="s">
        <v>40</v>
      </c>
      <c r="F112" s="6"/>
      <c r="G112" s="16">
        <v>9941</v>
      </c>
      <c r="H112" s="16">
        <v>1329</v>
      </c>
      <c r="I112" s="16">
        <v>238</v>
      </c>
      <c r="J112" s="19">
        <v>869</v>
      </c>
      <c r="K112" s="21">
        <v>40281</v>
      </c>
      <c r="L112" s="19">
        <v>172311</v>
      </c>
      <c r="M112" s="4" t="s">
        <v>31</v>
      </c>
      <c r="N112" s="6">
        <f t="shared" si="3"/>
        <v>6.67862179431377</v>
      </c>
    </row>
    <row r="113" spans="1:14" x14ac:dyDescent="0.3">
      <c r="A113" s="4" t="s">
        <v>233</v>
      </c>
      <c r="B113" s="4" t="s">
        <v>14</v>
      </c>
      <c r="C113" s="5" t="s">
        <v>234</v>
      </c>
      <c r="D113" s="4" t="s">
        <v>43</v>
      </c>
      <c r="E113" s="6" t="s">
        <v>22</v>
      </c>
      <c r="F113" s="6" t="s">
        <v>23</v>
      </c>
      <c r="G113" s="16">
        <v>16388</v>
      </c>
      <c r="H113" s="16">
        <v>1208</v>
      </c>
      <c r="I113" s="16">
        <v>417</v>
      </c>
      <c r="J113" s="19">
        <v>2306</v>
      </c>
      <c r="K113" s="21">
        <v>16865</v>
      </c>
      <c r="L113" s="19">
        <v>236733</v>
      </c>
      <c r="M113" s="4" t="s">
        <v>19</v>
      </c>
      <c r="N113" s="6">
        <f t="shared" si="3"/>
        <v>7.608994098837087</v>
      </c>
    </row>
    <row r="114" spans="1:14" x14ac:dyDescent="0.3">
      <c r="A114" s="4" t="s">
        <v>235</v>
      </c>
      <c r="B114" s="4" t="s">
        <v>21</v>
      </c>
      <c r="C114" s="5">
        <v>45929</v>
      </c>
      <c r="D114" s="4" t="s">
        <v>34</v>
      </c>
      <c r="E114" s="6" t="s">
        <v>78</v>
      </c>
      <c r="F114" s="6" t="s">
        <v>40</v>
      </c>
      <c r="G114" s="16">
        <v>7569</v>
      </c>
      <c r="H114" s="16">
        <v>803</v>
      </c>
      <c r="I114" s="16">
        <v>804</v>
      </c>
      <c r="J114" s="19">
        <v>1753</v>
      </c>
      <c r="K114" s="21">
        <v>43582</v>
      </c>
      <c r="L114" s="19">
        <v>166945</v>
      </c>
      <c r="M114" s="4" t="s">
        <v>24</v>
      </c>
      <c r="N114" s="6">
        <f t="shared" si="3"/>
        <v>5.4964209769684631</v>
      </c>
    </row>
    <row r="115" spans="1:14" x14ac:dyDescent="0.3">
      <c r="A115" s="4" t="s">
        <v>236</v>
      </c>
      <c r="B115" s="4" t="s">
        <v>53</v>
      </c>
      <c r="C115" s="5" t="s">
        <v>237</v>
      </c>
      <c r="D115" s="4" t="s">
        <v>16</v>
      </c>
      <c r="E115" s="6" t="s">
        <v>29</v>
      </c>
      <c r="F115" s="6" t="s">
        <v>30</v>
      </c>
      <c r="G115" s="16">
        <v>6300</v>
      </c>
      <c r="H115" s="16">
        <v>1213</v>
      </c>
      <c r="I115" s="16">
        <v>720</v>
      </c>
      <c r="J115" s="19">
        <v>1037</v>
      </c>
      <c r="K115" s="21">
        <v>39569</v>
      </c>
      <c r="L115" s="19">
        <v>85272</v>
      </c>
      <c r="M115" s="4" t="s">
        <v>37</v>
      </c>
      <c r="N115" s="6">
        <f t="shared" si="3"/>
        <v>9.6549863964724647</v>
      </c>
    </row>
    <row r="116" spans="1:14" x14ac:dyDescent="0.3">
      <c r="A116" s="4" t="s">
        <v>238</v>
      </c>
      <c r="B116" s="4" t="s">
        <v>14</v>
      </c>
      <c r="C116" s="5">
        <v>45930</v>
      </c>
      <c r="D116" s="4" t="s">
        <v>28</v>
      </c>
      <c r="E116" s="6" t="s">
        <v>17</v>
      </c>
      <c r="F116" s="6" t="s">
        <v>18</v>
      </c>
      <c r="G116" s="16">
        <v>8269</v>
      </c>
      <c r="H116" s="16">
        <v>250</v>
      </c>
      <c r="I116" s="16">
        <v>638</v>
      </c>
      <c r="J116" s="19">
        <v>815</v>
      </c>
      <c r="K116" s="21">
        <v>41991</v>
      </c>
      <c r="L116" s="19">
        <v>129393</v>
      </c>
      <c r="M116" s="4" t="s">
        <v>24</v>
      </c>
      <c r="N116" s="6">
        <f t="shared" si="3"/>
        <v>7.0768897853825177</v>
      </c>
    </row>
    <row r="117" spans="1:14" x14ac:dyDescent="0.3">
      <c r="A117" s="4" t="s">
        <v>239</v>
      </c>
      <c r="B117" s="4" t="s">
        <v>21</v>
      </c>
      <c r="C117" s="5" t="s">
        <v>240</v>
      </c>
      <c r="D117" s="4" t="s">
        <v>16</v>
      </c>
      <c r="E117" s="6" t="s">
        <v>48</v>
      </c>
      <c r="F117" s="6" t="s">
        <v>49</v>
      </c>
      <c r="G117" s="16">
        <v>5818</v>
      </c>
      <c r="H117" s="16">
        <v>1252</v>
      </c>
      <c r="I117" s="16">
        <v>687</v>
      </c>
      <c r="J117" s="19">
        <v>2300</v>
      </c>
      <c r="K117" s="21">
        <v>25081</v>
      </c>
      <c r="L117" s="19">
        <v>101212</v>
      </c>
      <c r="M117" s="4" t="s">
        <v>63</v>
      </c>
      <c r="N117" s="6">
        <f t="shared" si="3"/>
        <v>7.6641109749832044</v>
      </c>
    </row>
    <row r="118" spans="1:14" x14ac:dyDescent="0.3">
      <c r="A118" s="4" t="s">
        <v>241</v>
      </c>
      <c r="B118" s="4" t="s">
        <v>26</v>
      </c>
      <c r="C118" s="5" t="s">
        <v>242</v>
      </c>
      <c r="D118" s="4" t="s">
        <v>16</v>
      </c>
      <c r="E118" s="6" t="s">
        <v>35</v>
      </c>
      <c r="F118" s="6" t="s">
        <v>70</v>
      </c>
      <c r="G118" s="16">
        <v>14015</v>
      </c>
      <c r="H118" s="16">
        <v>978</v>
      </c>
      <c r="I118" s="16">
        <v>196</v>
      </c>
      <c r="J118" s="19">
        <v>2744</v>
      </c>
      <c r="K118" s="21">
        <v>20190</v>
      </c>
      <c r="L118" s="19">
        <v>186470</v>
      </c>
      <c r="M118" s="4" t="s">
        <v>31</v>
      </c>
      <c r="N118" s="6">
        <f t="shared" si="3"/>
        <v>8.1455462004611991</v>
      </c>
    </row>
    <row r="119" spans="1:14" x14ac:dyDescent="0.3">
      <c r="A119" s="4" t="s">
        <v>243</v>
      </c>
      <c r="B119" s="4" t="s">
        <v>53</v>
      </c>
      <c r="C119" s="5" t="s">
        <v>242</v>
      </c>
      <c r="D119" s="4" t="s">
        <v>34</v>
      </c>
      <c r="E119" s="6" t="s">
        <v>40</v>
      </c>
      <c r="F119" s="6"/>
      <c r="G119" s="16">
        <v>14234</v>
      </c>
      <c r="H119" s="16">
        <v>1013</v>
      </c>
      <c r="I119" s="16">
        <v>437</v>
      </c>
      <c r="J119" s="19">
        <v>338</v>
      </c>
      <c r="K119" s="21">
        <v>67754</v>
      </c>
      <c r="L119" s="19">
        <v>160030</v>
      </c>
      <c r="M119" s="4" t="s">
        <v>31</v>
      </c>
      <c r="N119" s="6">
        <f t="shared" si="3"/>
        <v>9.8006623758045368</v>
      </c>
    </row>
    <row r="120" spans="1:14" x14ac:dyDescent="0.3">
      <c r="A120" s="4" t="s">
        <v>244</v>
      </c>
      <c r="B120" s="4" t="s">
        <v>21</v>
      </c>
      <c r="C120" s="5" t="s">
        <v>245</v>
      </c>
      <c r="D120" s="4" t="s">
        <v>43</v>
      </c>
      <c r="E120" s="6" t="s">
        <v>177</v>
      </c>
      <c r="F120" s="6" t="s">
        <v>178</v>
      </c>
      <c r="G120" s="16">
        <v>20290</v>
      </c>
      <c r="H120" s="16">
        <v>619</v>
      </c>
      <c r="I120" s="16">
        <v>927</v>
      </c>
      <c r="J120" s="19">
        <v>1186</v>
      </c>
      <c r="K120" s="21">
        <v>8924</v>
      </c>
      <c r="L120" s="19">
        <v>96503</v>
      </c>
      <c r="M120" s="4" t="s">
        <v>63</v>
      </c>
      <c r="N120" s="6">
        <f>(G120+H120+I120)/L120*100</f>
        <v>22.627275835984374</v>
      </c>
    </row>
    <row r="121" spans="1:14" x14ac:dyDescent="0.3">
      <c r="A121" s="4" t="s">
        <v>246</v>
      </c>
      <c r="B121" s="4" t="s">
        <v>26</v>
      </c>
      <c r="C121" s="5" t="s">
        <v>138</v>
      </c>
      <c r="D121" s="4" t="s">
        <v>34</v>
      </c>
      <c r="E121" s="6" t="s">
        <v>35</v>
      </c>
      <c r="F121" s="6" t="s">
        <v>36</v>
      </c>
      <c r="G121" s="16">
        <v>8254</v>
      </c>
      <c r="H121" s="16">
        <v>1405</v>
      </c>
      <c r="I121" s="16">
        <v>165</v>
      </c>
      <c r="J121" s="19">
        <v>2504</v>
      </c>
      <c r="K121" s="21">
        <v>8081</v>
      </c>
      <c r="L121" s="19">
        <v>177710</v>
      </c>
      <c r="M121" s="4" t="s">
        <v>19</v>
      </c>
      <c r="N121" s="6">
        <f t="shared" ref="N121:N145" si="4">(G121+H121+I121)/L121*100</f>
        <v>5.5281075910190758</v>
      </c>
    </row>
    <row r="122" spans="1:14" x14ac:dyDescent="0.3">
      <c r="A122" s="4" t="s">
        <v>247</v>
      </c>
      <c r="B122" s="4" t="s">
        <v>21</v>
      </c>
      <c r="C122" s="5" t="s">
        <v>230</v>
      </c>
      <c r="D122" s="4" t="s">
        <v>34</v>
      </c>
      <c r="E122" s="6" t="s">
        <v>17</v>
      </c>
      <c r="F122" s="6" t="s">
        <v>18</v>
      </c>
      <c r="G122" s="16">
        <v>19144</v>
      </c>
      <c r="H122" s="16">
        <v>1182</v>
      </c>
      <c r="I122" s="16">
        <v>860</v>
      </c>
      <c r="J122" s="19">
        <v>1398</v>
      </c>
      <c r="K122" s="21">
        <v>4185</v>
      </c>
      <c r="L122" s="19">
        <v>46570</v>
      </c>
      <c r="M122" s="4" t="s">
        <v>19</v>
      </c>
      <c r="N122" s="6">
        <f t="shared" si="4"/>
        <v>45.492806527807602</v>
      </c>
    </row>
    <row r="123" spans="1:14" x14ac:dyDescent="0.3">
      <c r="A123" s="4" t="s">
        <v>248</v>
      </c>
      <c r="B123" s="4" t="s">
        <v>26</v>
      </c>
      <c r="C123" s="5" t="s">
        <v>249</v>
      </c>
      <c r="D123" s="4" t="s">
        <v>34</v>
      </c>
      <c r="E123" s="6" t="s">
        <v>78</v>
      </c>
      <c r="F123" s="6" t="s">
        <v>40</v>
      </c>
      <c r="G123" s="16">
        <v>9350</v>
      </c>
      <c r="H123" s="16">
        <v>1024</v>
      </c>
      <c r="I123" s="16">
        <v>550</v>
      </c>
      <c r="J123" s="19">
        <v>2123</v>
      </c>
      <c r="K123" s="21">
        <v>53916</v>
      </c>
      <c r="L123" s="19">
        <v>108785</v>
      </c>
      <c r="M123" s="4" t="s">
        <v>31</v>
      </c>
      <c r="N123" s="6">
        <f t="shared" si="4"/>
        <v>10.041825619340901</v>
      </c>
    </row>
    <row r="124" spans="1:14" x14ac:dyDescent="0.3">
      <c r="A124" s="4" t="s">
        <v>250</v>
      </c>
      <c r="B124" s="4" t="s">
        <v>53</v>
      </c>
      <c r="C124" s="5" t="s">
        <v>221</v>
      </c>
      <c r="D124" s="4" t="s">
        <v>34</v>
      </c>
      <c r="E124" s="6" t="s">
        <v>35</v>
      </c>
      <c r="F124" s="6" t="s">
        <v>70</v>
      </c>
      <c r="G124" s="16">
        <v>17183</v>
      </c>
      <c r="H124" s="16">
        <v>1224</v>
      </c>
      <c r="I124" s="16">
        <v>943</v>
      </c>
      <c r="J124" s="19">
        <v>2010</v>
      </c>
      <c r="K124" s="21">
        <v>21481</v>
      </c>
      <c r="L124" s="19">
        <v>49110</v>
      </c>
      <c r="M124" s="4" t="s">
        <v>31</v>
      </c>
      <c r="N124" s="6">
        <f t="shared" si="4"/>
        <v>39.401343921808184</v>
      </c>
    </row>
    <row r="125" spans="1:14" x14ac:dyDescent="0.3">
      <c r="A125" s="4" t="s">
        <v>251</v>
      </c>
      <c r="B125" s="4" t="s">
        <v>14</v>
      </c>
      <c r="C125" s="5" t="s">
        <v>252</v>
      </c>
      <c r="D125" s="4" t="s">
        <v>28</v>
      </c>
      <c r="E125" s="6" t="s">
        <v>78</v>
      </c>
      <c r="F125" s="6" t="s">
        <v>40</v>
      </c>
      <c r="G125" s="16">
        <v>8238</v>
      </c>
      <c r="H125" s="16">
        <v>766</v>
      </c>
      <c r="I125" s="16">
        <v>235</v>
      </c>
      <c r="J125" s="19">
        <v>1273</v>
      </c>
      <c r="K125" s="21">
        <v>4706</v>
      </c>
      <c r="L125" s="19">
        <v>119141</v>
      </c>
      <c r="M125" s="4" t="s">
        <v>37</v>
      </c>
      <c r="N125" s="6">
        <f t="shared" si="4"/>
        <v>7.7546772311798629</v>
      </c>
    </row>
    <row r="126" spans="1:14" x14ac:dyDescent="0.3">
      <c r="A126" s="4" t="s">
        <v>253</v>
      </c>
      <c r="B126" s="4" t="s">
        <v>26</v>
      </c>
      <c r="C126" s="5" t="s">
        <v>254</v>
      </c>
      <c r="D126" s="4" t="s">
        <v>43</v>
      </c>
      <c r="E126" s="6" t="s">
        <v>17</v>
      </c>
      <c r="F126" s="6" t="s">
        <v>18</v>
      </c>
      <c r="G126" s="16">
        <v>8090</v>
      </c>
      <c r="H126" s="16">
        <v>570</v>
      </c>
      <c r="I126" s="16">
        <v>399</v>
      </c>
      <c r="J126" s="19">
        <v>1862</v>
      </c>
      <c r="K126" s="21">
        <v>34088</v>
      </c>
      <c r="L126" s="19">
        <v>52115</v>
      </c>
      <c r="M126" s="4" t="s">
        <v>19</v>
      </c>
      <c r="N126" s="6">
        <f t="shared" si="4"/>
        <v>17.382711311522595</v>
      </c>
    </row>
    <row r="127" spans="1:14" x14ac:dyDescent="0.3">
      <c r="A127" s="4" t="s">
        <v>255</v>
      </c>
      <c r="B127" s="4" t="s">
        <v>21</v>
      </c>
      <c r="C127" s="5" t="s">
        <v>152</v>
      </c>
      <c r="D127" s="4" t="s">
        <v>16</v>
      </c>
      <c r="E127" s="6" t="s">
        <v>48</v>
      </c>
      <c r="F127" s="6" t="s">
        <v>49</v>
      </c>
      <c r="G127" s="16">
        <v>13637</v>
      </c>
      <c r="H127" s="16">
        <v>1135</v>
      </c>
      <c r="I127" s="16">
        <v>540</v>
      </c>
      <c r="J127" s="19">
        <v>1288</v>
      </c>
      <c r="K127" s="21">
        <v>45183</v>
      </c>
      <c r="L127" s="19">
        <v>79062</v>
      </c>
      <c r="M127" s="4" t="s">
        <v>63</v>
      </c>
      <c r="N127" s="6">
        <f t="shared" si="4"/>
        <v>19.367079001290126</v>
      </c>
    </row>
    <row r="128" spans="1:14" x14ac:dyDescent="0.3">
      <c r="A128" s="4" t="s">
        <v>256</v>
      </c>
      <c r="B128" s="4" t="s">
        <v>53</v>
      </c>
      <c r="C128" s="5" t="s">
        <v>190</v>
      </c>
      <c r="D128" s="4" t="s">
        <v>16</v>
      </c>
      <c r="E128" s="6" t="s">
        <v>35</v>
      </c>
      <c r="F128" s="6" t="s">
        <v>70</v>
      </c>
      <c r="G128" s="16">
        <v>24415</v>
      </c>
      <c r="H128" s="16">
        <v>860</v>
      </c>
      <c r="I128" s="16">
        <v>931</v>
      </c>
      <c r="J128" s="19">
        <v>320</v>
      </c>
      <c r="K128" s="21">
        <v>65049</v>
      </c>
      <c r="L128" s="19">
        <v>62911</v>
      </c>
      <c r="M128" s="4" t="s">
        <v>19</v>
      </c>
      <c r="N128" s="6">
        <f t="shared" si="4"/>
        <v>41.655672298962024</v>
      </c>
    </row>
    <row r="129" spans="1:14" x14ac:dyDescent="0.3">
      <c r="A129" s="4" t="s">
        <v>257</v>
      </c>
      <c r="B129" s="4" t="s">
        <v>26</v>
      </c>
      <c r="C129" s="5" t="s">
        <v>258</v>
      </c>
      <c r="D129" s="4" t="s">
        <v>43</v>
      </c>
      <c r="E129" s="6" t="s">
        <v>78</v>
      </c>
      <c r="F129" s="6" t="s">
        <v>40</v>
      </c>
      <c r="G129" s="16">
        <v>14647</v>
      </c>
      <c r="H129" s="16">
        <v>1168</v>
      </c>
      <c r="I129" s="16">
        <v>484</v>
      </c>
      <c r="J129" s="19">
        <v>2650</v>
      </c>
      <c r="K129" s="21">
        <v>27217</v>
      </c>
      <c r="L129" s="19">
        <v>144061</v>
      </c>
      <c r="M129" s="4" t="s">
        <v>37</v>
      </c>
      <c r="N129" s="6">
        <f t="shared" si="4"/>
        <v>11.313957281984715</v>
      </c>
    </row>
    <row r="130" spans="1:14" x14ac:dyDescent="0.3">
      <c r="A130" s="4" t="s">
        <v>259</v>
      </c>
      <c r="B130" s="4" t="s">
        <v>21</v>
      </c>
      <c r="C130" s="5" t="s">
        <v>60</v>
      </c>
      <c r="D130" s="4" t="s">
        <v>16</v>
      </c>
      <c r="E130" s="6" t="s">
        <v>35</v>
      </c>
      <c r="F130" s="6" t="s">
        <v>36</v>
      </c>
      <c r="G130" s="16">
        <v>11911</v>
      </c>
      <c r="H130" s="16">
        <v>1360</v>
      </c>
      <c r="I130" s="16">
        <v>778</v>
      </c>
      <c r="J130" s="19">
        <v>1168</v>
      </c>
      <c r="K130" s="21">
        <v>16483</v>
      </c>
      <c r="L130" s="19">
        <v>72556</v>
      </c>
      <c r="M130" s="4" t="s">
        <v>31</v>
      </c>
      <c r="N130" s="6">
        <f t="shared" si="4"/>
        <v>19.362974805667346</v>
      </c>
    </row>
    <row r="131" spans="1:14" x14ac:dyDescent="0.3">
      <c r="A131" s="4" t="s">
        <v>260</v>
      </c>
      <c r="B131" s="4" t="s">
        <v>21</v>
      </c>
      <c r="C131" s="5" t="s">
        <v>261</v>
      </c>
      <c r="D131" s="4" t="s">
        <v>43</v>
      </c>
      <c r="E131" s="6" t="s">
        <v>22</v>
      </c>
      <c r="F131" s="6" t="s">
        <v>23</v>
      </c>
      <c r="G131" s="16">
        <v>10472</v>
      </c>
      <c r="H131" s="16">
        <v>401</v>
      </c>
      <c r="I131" s="16">
        <v>668</v>
      </c>
      <c r="J131" s="19">
        <v>383</v>
      </c>
      <c r="K131" s="21">
        <v>37571</v>
      </c>
      <c r="L131" s="19">
        <v>249203</v>
      </c>
      <c r="M131" s="4" t="s">
        <v>31</v>
      </c>
      <c r="N131" s="6">
        <f t="shared" si="4"/>
        <v>4.6311641513143904</v>
      </c>
    </row>
    <row r="132" spans="1:14" x14ac:dyDescent="0.3">
      <c r="A132" s="4" t="s">
        <v>262</v>
      </c>
      <c r="B132" s="4" t="s">
        <v>21</v>
      </c>
      <c r="C132" s="5" t="s">
        <v>138</v>
      </c>
      <c r="D132" s="4" t="s">
        <v>16</v>
      </c>
      <c r="E132" s="6" t="s">
        <v>55</v>
      </c>
      <c r="F132" s="6" t="s">
        <v>56</v>
      </c>
      <c r="G132" s="16">
        <v>20271</v>
      </c>
      <c r="H132" s="16">
        <v>512</v>
      </c>
      <c r="I132" s="16">
        <v>286</v>
      </c>
      <c r="J132" s="19">
        <v>1982</v>
      </c>
      <c r="K132" s="21">
        <v>43225</v>
      </c>
      <c r="L132" s="19">
        <v>168335</v>
      </c>
      <c r="M132" s="4" t="s">
        <v>37</v>
      </c>
      <c r="N132" s="6">
        <f t="shared" si="4"/>
        <v>12.516113701844537</v>
      </c>
    </row>
    <row r="133" spans="1:14" x14ac:dyDescent="0.3">
      <c r="A133" s="4" t="s">
        <v>263</v>
      </c>
      <c r="B133" s="4" t="s">
        <v>26</v>
      </c>
      <c r="C133" s="5" t="s">
        <v>91</v>
      </c>
      <c r="D133" s="4" t="s">
        <v>34</v>
      </c>
      <c r="E133" s="6" t="s">
        <v>22</v>
      </c>
      <c r="F133" s="6" t="s">
        <v>23</v>
      </c>
      <c r="G133" s="16">
        <v>5266</v>
      </c>
      <c r="H133" s="16">
        <v>316</v>
      </c>
      <c r="I133" s="16">
        <v>837</v>
      </c>
      <c r="J133" s="19">
        <v>2276</v>
      </c>
      <c r="K133" s="21">
        <v>20967</v>
      </c>
      <c r="L133" s="19">
        <v>41969</v>
      </c>
      <c r="M133" s="4" t="s">
        <v>63</v>
      </c>
      <c r="N133" s="6">
        <f t="shared" si="4"/>
        <v>15.294622221163239</v>
      </c>
    </row>
    <row r="134" spans="1:14" x14ac:dyDescent="0.3">
      <c r="A134" s="4" t="s">
        <v>264</v>
      </c>
      <c r="B134" s="4" t="s">
        <v>26</v>
      </c>
      <c r="C134" s="5" t="s">
        <v>265</v>
      </c>
      <c r="D134" s="4" t="s">
        <v>16</v>
      </c>
      <c r="E134" s="6" t="s">
        <v>17</v>
      </c>
      <c r="F134" s="6" t="s">
        <v>18</v>
      </c>
      <c r="G134" s="16">
        <v>2666</v>
      </c>
      <c r="H134" s="16">
        <v>1136</v>
      </c>
      <c r="I134" s="16">
        <v>989</v>
      </c>
      <c r="J134" s="19">
        <v>1710</v>
      </c>
      <c r="K134" s="21">
        <v>36467</v>
      </c>
      <c r="L134" s="19">
        <v>83753</v>
      </c>
      <c r="M134" s="4" t="s">
        <v>31</v>
      </c>
      <c r="N134" s="6">
        <f t="shared" si="4"/>
        <v>5.72039210535742</v>
      </c>
    </row>
    <row r="135" spans="1:14" x14ac:dyDescent="0.3">
      <c r="A135" s="4" t="s">
        <v>266</v>
      </c>
      <c r="B135" s="4" t="s">
        <v>26</v>
      </c>
      <c r="C135" s="5">
        <v>45931</v>
      </c>
      <c r="D135" s="4" t="s">
        <v>43</v>
      </c>
      <c r="E135" s="6" t="s">
        <v>40</v>
      </c>
      <c r="F135" s="6"/>
      <c r="G135" s="16">
        <v>6188</v>
      </c>
      <c r="H135" s="16">
        <v>774</v>
      </c>
      <c r="I135" s="16">
        <v>647</v>
      </c>
      <c r="J135" s="19">
        <v>1830</v>
      </c>
      <c r="K135" s="21">
        <v>55436</v>
      </c>
      <c r="L135" s="19">
        <v>175542</v>
      </c>
      <c r="M135" s="4" t="s">
        <v>24</v>
      </c>
      <c r="N135" s="6">
        <f t="shared" si="4"/>
        <v>4.3345752013763086</v>
      </c>
    </row>
    <row r="136" spans="1:14" x14ac:dyDescent="0.3">
      <c r="A136" s="4" t="s">
        <v>267</v>
      </c>
      <c r="B136" s="4" t="s">
        <v>14</v>
      </c>
      <c r="C136" s="5" t="s">
        <v>268</v>
      </c>
      <c r="D136" s="4" t="s">
        <v>43</v>
      </c>
      <c r="E136" s="6" t="s">
        <v>55</v>
      </c>
      <c r="F136" s="6" t="s">
        <v>56</v>
      </c>
      <c r="G136" s="16">
        <v>19055</v>
      </c>
      <c r="H136" s="16">
        <v>443</v>
      </c>
      <c r="I136" s="16">
        <v>976</v>
      </c>
      <c r="J136" s="19">
        <v>869</v>
      </c>
      <c r="K136" s="21">
        <v>75437</v>
      </c>
      <c r="L136" s="19">
        <v>161863</v>
      </c>
      <c r="M136" s="4" t="s">
        <v>31</v>
      </c>
      <c r="N136" s="6">
        <f t="shared" si="4"/>
        <v>12.648968572187592</v>
      </c>
    </row>
    <row r="137" spans="1:14" x14ac:dyDescent="0.3">
      <c r="A137" s="4" t="s">
        <v>269</v>
      </c>
      <c r="B137" s="4" t="s">
        <v>26</v>
      </c>
      <c r="C137" s="5">
        <v>45932</v>
      </c>
      <c r="D137" s="4" t="s">
        <v>43</v>
      </c>
      <c r="E137" s="6" t="s">
        <v>29</v>
      </c>
      <c r="F137" s="6" t="s">
        <v>30</v>
      </c>
      <c r="G137" s="16">
        <v>12161</v>
      </c>
      <c r="H137" s="16">
        <v>736</v>
      </c>
      <c r="I137" s="16">
        <v>876</v>
      </c>
      <c r="J137" s="19">
        <v>1233</v>
      </c>
      <c r="K137" s="21">
        <v>21337</v>
      </c>
      <c r="L137" s="19">
        <v>50225</v>
      </c>
      <c r="M137" s="4" t="s">
        <v>24</v>
      </c>
      <c r="N137" s="6">
        <f t="shared" si="4"/>
        <v>27.422598307615729</v>
      </c>
    </row>
    <row r="138" spans="1:14" x14ac:dyDescent="0.3">
      <c r="A138" s="4" t="s">
        <v>270</v>
      </c>
      <c r="B138" s="4" t="s">
        <v>26</v>
      </c>
      <c r="C138" s="5" t="s">
        <v>99</v>
      </c>
      <c r="D138" s="4" t="s">
        <v>43</v>
      </c>
      <c r="E138" s="6" t="s">
        <v>35</v>
      </c>
      <c r="F138" s="6" t="s">
        <v>36</v>
      </c>
      <c r="G138" s="16">
        <v>13314</v>
      </c>
      <c r="H138" s="16">
        <v>274</v>
      </c>
      <c r="I138" s="16">
        <v>626</v>
      </c>
      <c r="J138" s="19">
        <v>2280</v>
      </c>
      <c r="K138" s="21">
        <v>14639</v>
      </c>
      <c r="L138" s="19">
        <v>163008</v>
      </c>
      <c r="M138" s="4" t="s">
        <v>37</v>
      </c>
      <c r="N138" s="6">
        <f t="shared" si="4"/>
        <v>8.7198174322732616</v>
      </c>
    </row>
    <row r="139" spans="1:14" x14ac:dyDescent="0.3">
      <c r="A139" s="4" t="s">
        <v>271</v>
      </c>
      <c r="B139" s="4" t="s">
        <v>26</v>
      </c>
      <c r="C139" s="5" t="s">
        <v>156</v>
      </c>
      <c r="D139" s="4" t="s">
        <v>43</v>
      </c>
      <c r="E139" s="6" t="s">
        <v>29</v>
      </c>
      <c r="F139" s="6" t="s">
        <v>30</v>
      </c>
      <c r="G139" s="16">
        <v>23508</v>
      </c>
      <c r="H139" s="16">
        <v>585</v>
      </c>
      <c r="I139" s="16">
        <v>743</v>
      </c>
      <c r="J139" s="19">
        <v>2155</v>
      </c>
      <c r="K139" s="21">
        <v>3704</v>
      </c>
      <c r="L139" s="19">
        <v>194268</v>
      </c>
      <c r="M139" s="4" t="s">
        <v>37</v>
      </c>
      <c r="N139" s="6">
        <f t="shared" si="4"/>
        <v>12.78440093067309</v>
      </c>
    </row>
    <row r="140" spans="1:14" x14ac:dyDescent="0.3">
      <c r="A140" s="4" t="s">
        <v>272</v>
      </c>
      <c r="B140" s="4" t="s">
        <v>14</v>
      </c>
      <c r="C140" s="5" t="s">
        <v>273</v>
      </c>
      <c r="D140" s="4" t="s">
        <v>28</v>
      </c>
      <c r="E140" s="6" t="s">
        <v>35</v>
      </c>
      <c r="F140" s="6" t="s">
        <v>70</v>
      </c>
      <c r="G140" s="16">
        <v>23969</v>
      </c>
      <c r="H140" s="16">
        <v>1433</v>
      </c>
      <c r="I140" s="16">
        <v>372</v>
      </c>
      <c r="J140" s="19">
        <v>1092</v>
      </c>
      <c r="K140" s="21">
        <v>32147</v>
      </c>
      <c r="L140" s="19">
        <v>145823</v>
      </c>
      <c r="M140" s="4" t="s">
        <v>31</v>
      </c>
      <c r="N140" s="6">
        <f t="shared" si="4"/>
        <v>17.674852389540742</v>
      </c>
    </row>
    <row r="141" spans="1:14" x14ac:dyDescent="0.3">
      <c r="A141" s="4" t="s">
        <v>274</v>
      </c>
      <c r="B141" s="4" t="s">
        <v>26</v>
      </c>
      <c r="C141" s="5" t="s">
        <v>275</v>
      </c>
      <c r="D141" s="4" t="s">
        <v>28</v>
      </c>
      <c r="E141" s="6" t="s">
        <v>44</v>
      </c>
      <c r="F141" s="6" t="s">
        <v>45</v>
      </c>
      <c r="G141" s="16">
        <v>14891</v>
      </c>
      <c r="H141" s="16">
        <v>674</v>
      </c>
      <c r="I141" s="16">
        <v>521</v>
      </c>
      <c r="J141" s="19">
        <v>1091</v>
      </c>
      <c r="K141" s="21">
        <v>18101</v>
      </c>
      <c r="L141" s="19">
        <v>53669</v>
      </c>
      <c r="M141" s="4" t="s">
        <v>19</v>
      </c>
      <c r="N141" s="6">
        <f t="shared" si="4"/>
        <v>29.972609886526673</v>
      </c>
    </row>
    <row r="142" spans="1:14" x14ac:dyDescent="0.3">
      <c r="A142" s="4" t="s">
        <v>276</v>
      </c>
      <c r="B142" s="4" t="s">
        <v>21</v>
      </c>
      <c r="C142" s="5">
        <v>45933</v>
      </c>
      <c r="D142" s="4" t="s">
        <v>16</v>
      </c>
      <c r="E142" s="6" t="s">
        <v>55</v>
      </c>
      <c r="F142" s="6" t="s">
        <v>56</v>
      </c>
      <c r="G142" s="16">
        <v>6777</v>
      </c>
      <c r="H142" s="16">
        <v>617</v>
      </c>
      <c r="I142" s="16">
        <v>551</v>
      </c>
      <c r="J142" s="19">
        <v>2109</v>
      </c>
      <c r="K142" s="21">
        <v>18559</v>
      </c>
      <c r="L142" s="19">
        <v>208452</v>
      </c>
      <c r="M142" s="4" t="s">
        <v>24</v>
      </c>
      <c r="N142" s="6">
        <f t="shared" si="4"/>
        <v>3.8114290100358836</v>
      </c>
    </row>
    <row r="143" spans="1:14" x14ac:dyDescent="0.3">
      <c r="A143" s="4" t="s">
        <v>277</v>
      </c>
      <c r="B143" s="4" t="s">
        <v>26</v>
      </c>
      <c r="C143" s="5" t="s">
        <v>278</v>
      </c>
      <c r="D143" s="4" t="s">
        <v>43</v>
      </c>
      <c r="E143" s="6" t="s">
        <v>29</v>
      </c>
      <c r="F143" s="6" t="s">
        <v>30</v>
      </c>
      <c r="G143" s="16">
        <v>5900</v>
      </c>
      <c r="H143" s="16">
        <v>546</v>
      </c>
      <c r="I143" s="16">
        <v>592</v>
      </c>
      <c r="J143" s="19">
        <v>1594</v>
      </c>
      <c r="K143" s="21">
        <v>38627</v>
      </c>
      <c r="L143" s="19">
        <v>164398</v>
      </c>
      <c r="M143" s="4" t="s">
        <v>63</v>
      </c>
      <c r="N143" s="6">
        <f t="shared" si="4"/>
        <v>4.2810739790021781</v>
      </c>
    </row>
    <row r="144" spans="1:14" x14ac:dyDescent="0.3">
      <c r="A144" s="4" t="s">
        <v>279</v>
      </c>
      <c r="B144" s="4" t="s">
        <v>21</v>
      </c>
      <c r="C144" s="5" t="s">
        <v>249</v>
      </c>
      <c r="D144" s="4" t="s">
        <v>16</v>
      </c>
      <c r="E144" s="6" t="s">
        <v>29</v>
      </c>
      <c r="F144" s="6" t="s">
        <v>30</v>
      </c>
      <c r="G144" s="16">
        <v>15716</v>
      </c>
      <c r="H144" s="16">
        <v>839</v>
      </c>
      <c r="I144" s="16">
        <v>639</v>
      </c>
      <c r="J144" s="19">
        <v>2839</v>
      </c>
      <c r="K144" s="21">
        <v>349</v>
      </c>
      <c r="L144" s="19">
        <v>150677</v>
      </c>
      <c r="M144" s="4" t="s">
        <v>31</v>
      </c>
      <c r="N144" s="6">
        <f t="shared" si="4"/>
        <v>11.411164278556116</v>
      </c>
    </row>
    <row r="145" spans="1:14" x14ac:dyDescent="0.3">
      <c r="A145" s="4" t="s">
        <v>280</v>
      </c>
      <c r="B145" s="4" t="s">
        <v>21</v>
      </c>
      <c r="C145" s="5" t="s">
        <v>169</v>
      </c>
      <c r="D145" s="4" t="s">
        <v>43</v>
      </c>
      <c r="E145" s="6" t="s">
        <v>78</v>
      </c>
      <c r="F145" s="6" t="s">
        <v>40</v>
      </c>
      <c r="G145" s="16">
        <v>8981</v>
      </c>
      <c r="H145" s="16">
        <v>1138</v>
      </c>
      <c r="I145" s="16">
        <v>764</v>
      </c>
      <c r="J145" s="19">
        <v>2555</v>
      </c>
      <c r="K145" s="21">
        <v>92810</v>
      </c>
      <c r="L145" s="19">
        <v>88320</v>
      </c>
      <c r="M145" s="4" t="s">
        <v>63</v>
      </c>
      <c r="N145" s="6">
        <f t="shared" si="4"/>
        <v>12.32223731884058</v>
      </c>
    </row>
    <row r="146" spans="1:14" x14ac:dyDescent="0.3">
      <c r="A146" s="4" t="s">
        <v>281</v>
      </c>
      <c r="B146" s="4" t="s">
        <v>21</v>
      </c>
      <c r="C146" s="5" t="s">
        <v>33</v>
      </c>
      <c r="D146" s="4" t="s">
        <v>43</v>
      </c>
      <c r="E146" s="6" t="s">
        <v>22</v>
      </c>
      <c r="F146" s="6" t="s">
        <v>23</v>
      </c>
      <c r="G146" s="16">
        <v>8376</v>
      </c>
      <c r="H146" s="16">
        <v>1154</v>
      </c>
      <c r="I146" s="16">
        <v>422</v>
      </c>
      <c r="J146" s="19">
        <v>1907</v>
      </c>
      <c r="K146" s="21">
        <v>36874</v>
      </c>
      <c r="L146" s="19">
        <v>218486</v>
      </c>
      <c r="M146" s="4" t="s">
        <v>31</v>
      </c>
      <c r="N146" s="6">
        <f>(G146+H146+I146)/L146*100</f>
        <v>4.5549829279679246</v>
      </c>
    </row>
    <row r="147" spans="1:14" x14ac:dyDescent="0.3">
      <c r="A147" s="4" t="s">
        <v>282</v>
      </c>
      <c r="B147" s="4" t="s">
        <v>14</v>
      </c>
      <c r="C147" s="5" t="s">
        <v>283</v>
      </c>
      <c r="D147" s="4" t="s">
        <v>28</v>
      </c>
      <c r="E147" s="6" t="s">
        <v>78</v>
      </c>
      <c r="F147" s="6" t="s">
        <v>40</v>
      </c>
      <c r="G147" s="16">
        <v>18907</v>
      </c>
      <c r="H147" s="16">
        <v>1075</v>
      </c>
      <c r="I147" s="16">
        <v>675</v>
      </c>
      <c r="J147" s="19">
        <v>1383</v>
      </c>
      <c r="K147" s="21">
        <v>17875</v>
      </c>
      <c r="L147" s="19">
        <v>186649</v>
      </c>
      <c r="M147" s="4" t="s">
        <v>19</v>
      </c>
      <c r="N147" s="6">
        <f>(G147+H147+I147)/L147*100</f>
        <v>11.067297440650634</v>
      </c>
    </row>
    <row r="148" spans="1:14" x14ac:dyDescent="0.3">
      <c r="A148" s="4" t="s">
        <v>284</v>
      </c>
      <c r="B148" s="4" t="s">
        <v>14</v>
      </c>
      <c r="C148" s="5" t="s">
        <v>138</v>
      </c>
      <c r="D148" s="4" t="s">
        <v>28</v>
      </c>
      <c r="E148" s="6" t="s">
        <v>55</v>
      </c>
      <c r="F148" s="6" t="s">
        <v>56</v>
      </c>
      <c r="G148" s="16">
        <v>20777</v>
      </c>
      <c r="H148" s="16">
        <v>962</v>
      </c>
      <c r="I148" s="16">
        <v>308</v>
      </c>
      <c r="J148" s="19">
        <v>2777</v>
      </c>
      <c r="K148" s="21">
        <v>25529</v>
      </c>
      <c r="L148" s="19">
        <v>165354</v>
      </c>
      <c r="M148" s="4" t="s">
        <v>19</v>
      </c>
      <c r="N148" s="6">
        <f t="shared" ref="N148:N172" si="5">(G148+H148+I148)/L148*100</f>
        <v>13.333212380710476</v>
      </c>
    </row>
    <row r="149" spans="1:14" x14ac:dyDescent="0.3">
      <c r="A149" s="4" t="s">
        <v>285</v>
      </c>
      <c r="B149" s="4" t="s">
        <v>14</v>
      </c>
      <c r="C149" s="5" t="s">
        <v>140</v>
      </c>
      <c r="D149" s="4" t="s">
        <v>34</v>
      </c>
      <c r="E149" s="6" t="s">
        <v>55</v>
      </c>
      <c r="F149" s="6" t="s">
        <v>56</v>
      </c>
      <c r="G149" s="16">
        <v>20977</v>
      </c>
      <c r="H149" s="16">
        <v>1402</v>
      </c>
      <c r="I149" s="16">
        <v>301</v>
      </c>
      <c r="J149" s="19">
        <v>1284</v>
      </c>
      <c r="K149" s="21">
        <v>24620</v>
      </c>
      <c r="L149" s="19">
        <v>128009</v>
      </c>
      <c r="M149" s="4" t="s">
        <v>19</v>
      </c>
      <c r="N149" s="6">
        <f t="shared" si="5"/>
        <v>17.717504237983267</v>
      </c>
    </row>
    <row r="150" spans="1:14" x14ac:dyDescent="0.3">
      <c r="A150" s="4" t="s">
        <v>286</v>
      </c>
      <c r="B150" s="4" t="s">
        <v>26</v>
      </c>
      <c r="C150" s="5" t="s">
        <v>287</v>
      </c>
      <c r="D150" s="4" t="s">
        <v>28</v>
      </c>
      <c r="E150" s="6" t="s">
        <v>17</v>
      </c>
      <c r="F150" s="6" t="s">
        <v>18</v>
      </c>
      <c r="G150" s="16">
        <v>12160</v>
      </c>
      <c r="H150" s="16">
        <v>1405</v>
      </c>
      <c r="I150" s="16">
        <v>769</v>
      </c>
      <c r="J150" s="19">
        <v>1980</v>
      </c>
      <c r="K150" s="21">
        <v>33174</v>
      </c>
      <c r="L150" s="19">
        <v>226481</v>
      </c>
      <c r="M150" s="4" t="s">
        <v>19</v>
      </c>
      <c r="N150" s="6">
        <f t="shared" si="5"/>
        <v>6.3290077313328714</v>
      </c>
    </row>
    <row r="151" spans="1:14" x14ac:dyDescent="0.3">
      <c r="A151" s="4" t="s">
        <v>288</v>
      </c>
      <c r="B151" s="4" t="s">
        <v>21</v>
      </c>
      <c r="C151" s="5" t="s">
        <v>289</v>
      </c>
      <c r="D151" s="4" t="s">
        <v>34</v>
      </c>
      <c r="E151" s="6" t="s">
        <v>78</v>
      </c>
      <c r="F151" s="6" t="s">
        <v>40</v>
      </c>
      <c r="G151" s="16">
        <v>16124</v>
      </c>
      <c r="H151" s="16">
        <v>863</v>
      </c>
      <c r="I151" s="16">
        <v>337</v>
      </c>
      <c r="J151" s="19">
        <v>819</v>
      </c>
      <c r="K151" s="21">
        <v>85788</v>
      </c>
      <c r="L151" s="19">
        <v>68625</v>
      </c>
      <c r="M151" s="4" t="s">
        <v>37</v>
      </c>
      <c r="N151" s="6">
        <f t="shared" si="5"/>
        <v>25.244444444444447</v>
      </c>
    </row>
    <row r="152" spans="1:14" x14ac:dyDescent="0.3">
      <c r="A152" s="4" t="s">
        <v>290</v>
      </c>
      <c r="B152" s="4" t="s">
        <v>14</v>
      </c>
      <c r="C152" s="5" t="s">
        <v>154</v>
      </c>
      <c r="D152" s="4" t="s">
        <v>34</v>
      </c>
      <c r="E152" s="6" t="s">
        <v>93</v>
      </c>
      <c r="F152" s="6"/>
      <c r="G152" s="16">
        <v>18282</v>
      </c>
      <c r="H152" s="16">
        <v>224</v>
      </c>
      <c r="I152" s="16">
        <v>962</v>
      </c>
      <c r="J152" s="19">
        <v>890</v>
      </c>
      <c r="K152" s="21">
        <v>35105</v>
      </c>
      <c r="L152" s="19">
        <v>64089</v>
      </c>
      <c r="M152" s="4" t="s">
        <v>37</v>
      </c>
      <c r="N152" s="6">
        <f t="shared" si="5"/>
        <v>30.376507669022768</v>
      </c>
    </row>
    <row r="153" spans="1:14" x14ac:dyDescent="0.3">
      <c r="A153" s="4" t="s">
        <v>291</v>
      </c>
      <c r="B153" s="4" t="s">
        <v>14</v>
      </c>
      <c r="C153" s="5">
        <v>45934</v>
      </c>
      <c r="D153" s="4" t="s">
        <v>34</v>
      </c>
      <c r="E153" s="6" t="s">
        <v>177</v>
      </c>
      <c r="F153" s="6" t="s">
        <v>178</v>
      </c>
      <c r="G153" s="16">
        <v>12488</v>
      </c>
      <c r="H153" s="16">
        <v>1403</v>
      </c>
      <c r="I153" s="16">
        <v>247</v>
      </c>
      <c r="J153" s="19">
        <v>1350</v>
      </c>
      <c r="K153" s="21">
        <v>28370</v>
      </c>
      <c r="L153" s="19">
        <v>76487</v>
      </c>
      <c r="M153" s="4" t="s">
        <v>24</v>
      </c>
      <c r="N153" s="6">
        <f t="shared" si="5"/>
        <v>18.484186855282598</v>
      </c>
    </row>
    <row r="154" spans="1:14" x14ac:dyDescent="0.3">
      <c r="A154" s="4" t="s">
        <v>292</v>
      </c>
      <c r="B154" s="4" t="s">
        <v>26</v>
      </c>
      <c r="C154" s="5" t="s">
        <v>293</v>
      </c>
      <c r="D154" s="4" t="s">
        <v>34</v>
      </c>
      <c r="E154" s="6" t="s">
        <v>22</v>
      </c>
      <c r="F154" s="6" t="s">
        <v>23</v>
      </c>
      <c r="G154" s="16">
        <v>24574</v>
      </c>
      <c r="H154" s="16">
        <v>909</v>
      </c>
      <c r="I154" s="16">
        <v>280</v>
      </c>
      <c r="J154" s="19">
        <v>2009</v>
      </c>
      <c r="K154" s="21">
        <v>6221</v>
      </c>
      <c r="L154" s="19">
        <v>236910</v>
      </c>
      <c r="M154" s="4" t="s">
        <v>63</v>
      </c>
      <c r="N154" s="6">
        <f t="shared" si="5"/>
        <v>10.874593727575872</v>
      </c>
    </row>
    <row r="155" spans="1:14" x14ac:dyDescent="0.3">
      <c r="A155" s="4" t="s">
        <v>294</v>
      </c>
      <c r="B155" s="4" t="s">
        <v>14</v>
      </c>
      <c r="C155" s="5" t="s">
        <v>295</v>
      </c>
      <c r="D155" s="4" t="s">
        <v>34</v>
      </c>
      <c r="E155" s="6" t="s">
        <v>55</v>
      </c>
      <c r="F155" s="6" t="s">
        <v>56</v>
      </c>
      <c r="G155" s="16">
        <v>7240</v>
      </c>
      <c r="H155" s="16">
        <v>1384</v>
      </c>
      <c r="I155" s="16">
        <v>954</v>
      </c>
      <c r="J155" s="19">
        <v>2335</v>
      </c>
      <c r="K155" s="21">
        <v>6757</v>
      </c>
      <c r="L155" s="19">
        <v>150448</v>
      </c>
      <c r="M155" s="4" t="s">
        <v>31</v>
      </c>
      <c r="N155" s="6">
        <f t="shared" si="5"/>
        <v>6.366319259810699</v>
      </c>
    </row>
    <row r="156" spans="1:14" x14ac:dyDescent="0.3">
      <c r="A156" s="4" t="s">
        <v>296</v>
      </c>
      <c r="B156" s="4" t="s">
        <v>26</v>
      </c>
      <c r="C156" s="5" t="s">
        <v>297</v>
      </c>
      <c r="D156" s="4" t="s">
        <v>16</v>
      </c>
      <c r="E156" s="6" t="s">
        <v>17</v>
      </c>
      <c r="F156" s="6" t="s">
        <v>18</v>
      </c>
      <c r="G156" s="16">
        <v>12453</v>
      </c>
      <c r="H156" s="16">
        <v>376</v>
      </c>
      <c r="I156" s="16">
        <v>320</v>
      </c>
      <c r="J156" s="19">
        <v>2546</v>
      </c>
      <c r="K156" s="21">
        <v>22617</v>
      </c>
      <c r="L156" s="19">
        <v>90138</v>
      </c>
      <c r="M156" s="4" t="s">
        <v>31</v>
      </c>
      <c r="N156" s="6">
        <f t="shared" si="5"/>
        <v>14.587632297144379</v>
      </c>
    </row>
    <row r="157" spans="1:14" x14ac:dyDescent="0.3">
      <c r="A157" s="4" t="s">
        <v>298</v>
      </c>
      <c r="B157" s="4" t="s">
        <v>53</v>
      </c>
      <c r="C157" s="5" t="s">
        <v>299</v>
      </c>
      <c r="D157" s="4" t="s">
        <v>28</v>
      </c>
      <c r="E157" s="6" t="s">
        <v>44</v>
      </c>
      <c r="F157" s="6" t="s">
        <v>45</v>
      </c>
      <c r="G157" s="16">
        <v>12478</v>
      </c>
      <c r="H157" s="16">
        <v>484</v>
      </c>
      <c r="I157" s="16">
        <v>332</v>
      </c>
      <c r="J157" s="19">
        <v>2734</v>
      </c>
      <c r="K157" s="21">
        <v>43338</v>
      </c>
      <c r="L157" s="19">
        <v>213895</v>
      </c>
      <c r="M157" s="4" t="s">
        <v>37</v>
      </c>
      <c r="N157" s="6">
        <f t="shared" si="5"/>
        <v>6.2151990462610156</v>
      </c>
    </row>
    <row r="158" spans="1:14" x14ac:dyDescent="0.3">
      <c r="A158" s="4" t="s">
        <v>300</v>
      </c>
      <c r="B158" s="4" t="s">
        <v>14</v>
      </c>
      <c r="C158" s="5" t="s">
        <v>301</v>
      </c>
      <c r="D158" s="4" t="s">
        <v>34</v>
      </c>
      <c r="E158" s="6" t="s">
        <v>78</v>
      </c>
      <c r="F158" s="6" t="s">
        <v>40</v>
      </c>
      <c r="G158" s="16">
        <v>24877</v>
      </c>
      <c r="H158" s="16">
        <v>262</v>
      </c>
      <c r="I158" s="16">
        <v>513</v>
      </c>
      <c r="J158" s="19">
        <v>648</v>
      </c>
      <c r="K158" s="21">
        <v>47544</v>
      </c>
      <c r="L158" s="19">
        <v>208280</v>
      </c>
      <c r="M158" s="4" t="s">
        <v>31</v>
      </c>
      <c r="N158" s="6">
        <f t="shared" si="5"/>
        <v>12.316112924908778</v>
      </c>
    </row>
    <row r="159" spans="1:14" x14ac:dyDescent="0.3">
      <c r="A159" s="4" t="s">
        <v>302</v>
      </c>
      <c r="B159" s="4" t="s">
        <v>53</v>
      </c>
      <c r="C159" s="5" t="s">
        <v>303</v>
      </c>
      <c r="D159" s="4" t="s">
        <v>43</v>
      </c>
      <c r="E159" s="6" t="s">
        <v>22</v>
      </c>
      <c r="F159" s="6" t="s">
        <v>23</v>
      </c>
      <c r="G159" s="16">
        <v>14394</v>
      </c>
      <c r="H159" s="16">
        <v>1202</v>
      </c>
      <c r="I159" s="16">
        <v>188</v>
      </c>
      <c r="J159" s="19">
        <v>1259</v>
      </c>
      <c r="K159" s="21">
        <v>21925</v>
      </c>
      <c r="L159" s="19">
        <v>94061</v>
      </c>
      <c r="M159" s="4" t="s">
        <v>37</v>
      </c>
      <c r="N159" s="6">
        <f t="shared" si="5"/>
        <v>16.780599823518781</v>
      </c>
    </row>
    <row r="160" spans="1:14" x14ac:dyDescent="0.3">
      <c r="A160" s="4" t="s">
        <v>304</v>
      </c>
      <c r="B160" s="4" t="s">
        <v>26</v>
      </c>
      <c r="C160" s="5">
        <v>45935</v>
      </c>
      <c r="D160" s="4" t="s">
        <v>28</v>
      </c>
      <c r="E160" s="6" t="s">
        <v>44</v>
      </c>
      <c r="F160" s="6" t="s">
        <v>45</v>
      </c>
      <c r="G160" s="16">
        <v>21262</v>
      </c>
      <c r="H160" s="16">
        <v>861</v>
      </c>
      <c r="I160" s="16">
        <v>676</v>
      </c>
      <c r="J160" s="19">
        <v>2263</v>
      </c>
      <c r="K160" s="21">
        <v>12085</v>
      </c>
      <c r="L160" s="19">
        <v>201731</v>
      </c>
      <c r="M160" s="4" t="s">
        <v>24</v>
      </c>
      <c r="N160" s="6">
        <f t="shared" si="5"/>
        <v>11.301683925623726</v>
      </c>
    </row>
    <row r="161" spans="1:14" x14ac:dyDescent="0.3">
      <c r="A161" s="4" t="s">
        <v>305</v>
      </c>
      <c r="B161" s="4" t="s">
        <v>21</v>
      </c>
      <c r="C161" s="5" t="s">
        <v>306</v>
      </c>
      <c r="D161" s="4" t="s">
        <v>28</v>
      </c>
      <c r="E161" s="6" t="s">
        <v>78</v>
      </c>
      <c r="F161" s="6" t="s">
        <v>40</v>
      </c>
      <c r="G161" s="16">
        <v>22527</v>
      </c>
      <c r="H161" s="16">
        <v>865</v>
      </c>
      <c r="I161" s="16">
        <v>646</v>
      </c>
      <c r="J161" s="19">
        <v>992</v>
      </c>
      <c r="K161" s="21">
        <v>18654</v>
      </c>
      <c r="L161" s="19">
        <v>141376</v>
      </c>
      <c r="M161" s="4" t="s">
        <v>63</v>
      </c>
      <c r="N161" s="6">
        <f t="shared" si="5"/>
        <v>17.002885921231325</v>
      </c>
    </row>
    <row r="162" spans="1:14" x14ac:dyDescent="0.3">
      <c r="A162" s="4" t="s">
        <v>307</v>
      </c>
      <c r="B162" s="4" t="s">
        <v>14</v>
      </c>
      <c r="C162" s="5">
        <v>45936</v>
      </c>
      <c r="D162" s="4" t="s">
        <v>34</v>
      </c>
      <c r="E162" s="6" t="s">
        <v>29</v>
      </c>
      <c r="F162" s="6" t="s">
        <v>30</v>
      </c>
      <c r="G162" s="16">
        <v>22028</v>
      </c>
      <c r="H162" s="16">
        <v>355</v>
      </c>
      <c r="I162" s="16">
        <v>665</v>
      </c>
      <c r="J162" s="19">
        <v>1859</v>
      </c>
      <c r="K162" s="21">
        <v>50565</v>
      </c>
      <c r="L162" s="19">
        <v>202962</v>
      </c>
      <c r="M162" s="4" t="s">
        <v>24</v>
      </c>
      <c r="N162" s="6">
        <f t="shared" si="5"/>
        <v>11.355820301337197</v>
      </c>
    </row>
    <row r="163" spans="1:14" x14ac:dyDescent="0.3">
      <c r="A163" s="4" t="s">
        <v>308</v>
      </c>
      <c r="B163" s="4" t="s">
        <v>26</v>
      </c>
      <c r="C163" s="5" t="s">
        <v>309</v>
      </c>
      <c r="D163" s="4" t="s">
        <v>16</v>
      </c>
      <c r="E163" s="6" t="s">
        <v>44</v>
      </c>
      <c r="F163" s="6" t="s">
        <v>45</v>
      </c>
      <c r="G163" s="16">
        <v>6432</v>
      </c>
      <c r="H163" s="16">
        <v>1272</v>
      </c>
      <c r="I163" s="16">
        <v>498</v>
      </c>
      <c r="J163" s="19">
        <v>677</v>
      </c>
      <c r="K163" s="21">
        <v>47305</v>
      </c>
      <c r="L163" s="19">
        <v>119134</v>
      </c>
      <c r="M163" s="4" t="s">
        <v>19</v>
      </c>
      <c r="N163" s="6">
        <f t="shared" si="5"/>
        <v>6.8846844729464296</v>
      </c>
    </row>
    <row r="164" spans="1:14" x14ac:dyDescent="0.3">
      <c r="A164" s="4" t="s">
        <v>310</v>
      </c>
      <c r="B164" s="4" t="s">
        <v>21</v>
      </c>
      <c r="C164" s="5" t="s">
        <v>311</v>
      </c>
      <c r="D164" s="4" t="s">
        <v>34</v>
      </c>
      <c r="E164" s="6" t="s">
        <v>17</v>
      </c>
      <c r="F164" s="6" t="s">
        <v>18</v>
      </c>
      <c r="G164" s="16">
        <v>15568</v>
      </c>
      <c r="H164" s="16">
        <v>1166</v>
      </c>
      <c r="I164" s="16">
        <v>546</v>
      </c>
      <c r="J164" s="19">
        <v>826</v>
      </c>
      <c r="K164" s="21">
        <v>21836</v>
      </c>
      <c r="L164" s="19">
        <v>87055</v>
      </c>
      <c r="M164" s="4" t="s">
        <v>19</v>
      </c>
      <c r="N164" s="6">
        <f t="shared" si="5"/>
        <v>19.84952041812647</v>
      </c>
    </row>
    <row r="165" spans="1:14" x14ac:dyDescent="0.3">
      <c r="A165" s="4" t="s">
        <v>312</v>
      </c>
      <c r="B165" s="4" t="s">
        <v>21</v>
      </c>
      <c r="C165" s="5" t="s">
        <v>80</v>
      </c>
      <c r="D165" s="4" t="s">
        <v>16</v>
      </c>
      <c r="E165" s="6" t="s">
        <v>22</v>
      </c>
      <c r="F165" s="6" t="s">
        <v>23</v>
      </c>
      <c r="G165" s="16">
        <v>16178</v>
      </c>
      <c r="H165" s="16">
        <v>1048</v>
      </c>
      <c r="I165" s="16">
        <v>871</v>
      </c>
      <c r="J165" s="19">
        <v>2553</v>
      </c>
      <c r="K165" s="21">
        <v>39025</v>
      </c>
      <c r="L165" s="19">
        <v>59508</v>
      </c>
      <c r="M165" s="4" t="s">
        <v>19</v>
      </c>
      <c r="N165" s="6">
        <f t="shared" si="5"/>
        <v>30.411037171472742</v>
      </c>
    </row>
    <row r="166" spans="1:14" x14ac:dyDescent="0.3">
      <c r="A166" s="4" t="s">
        <v>313</v>
      </c>
      <c r="B166" s="4" t="s">
        <v>53</v>
      </c>
      <c r="C166" s="5">
        <v>45937</v>
      </c>
      <c r="D166" s="4" t="s">
        <v>43</v>
      </c>
      <c r="E166" s="6" t="s">
        <v>48</v>
      </c>
      <c r="F166" s="6" t="s">
        <v>49</v>
      </c>
      <c r="G166" s="16">
        <v>19660</v>
      </c>
      <c r="H166" s="16">
        <v>1307</v>
      </c>
      <c r="I166" s="16">
        <v>310</v>
      </c>
      <c r="J166" s="19">
        <v>2802</v>
      </c>
      <c r="K166" s="21">
        <v>22171</v>
      </c>
      <c r="L166" s="19">
        <v>213359</v>
      </c>
      <c r="M166" s="4" t="s">
        <v>24</v>
      </c>
      <c r="N166" s="6">
        <f t="shared" si="5"/>
        <v>9.9723939463533284</v>
      </c>
    </row>
    <row r="167" spans="1:14" x14ac:dyDescent="0.3">
      <c r="A167" s="4" t="s">
        <v>314</v>
      </c>
      <c r="B167" s="4" t="s">
        <v>26</v>
      </c>
      <c r="C167" s="5" t="s">
        <v>315</v>
      </c>
      <c r="D167" s="4" t="s">
        <v>28</v>
      </c>
      <c r="E167" s="6" t="s">
        <v>35</v>
      </c>
      <c r="F167" s="6" t="s">
        <v>70</v>
      </c>
      <c r="G167" s="16">
        <v>24195</v>
      </c>
      <c r="H167" s="16">
        <v>888</v>
      </c>
      <c r="I167" s="16">
        <v>165</v>
      </c>
      <c r="J167" s="19">
        <v>1559</v>
      </c>
      <c r="K167" s="21">
        <v>11596</v>
      </c>
      <c r="L167" s="19">
        <v>249988</v>
      </c>
      <c r="M167" s="4" t="s">
        <v>31</v>
      </c>
      <c r="N167" s="6">
        <f t="shared" si="5"/>
        <v>10.099684784869673</v>
      </c>
    </row>
    <row r="168" spans="1:14" x14ac:dyDescent="0.3">
      <c r="A168" s="4" t="s">
        <v>316</v>
      </c>
      <c r="B168" s="4" t="s">
        <v>21</v>
      </c>
      <c r="C168" s="5" t="s">
        <v>268</v>
      </c>
      <c r="D168" s="4" t="s">
        <v>43</v>
      </c>
      <c r="E168" s="6" t="s">
        <v>35</v>
      </c>
      <c r="F168" s="6" t="s">
        <v>70</v>
      </c>
      <c r="G168" s="16">
        <v>2302</v>
      </c>
      <c r="H168" s="16">
        <v>347</v>
      </c>
      <c r="I168" s="16">
        <v>642</v>
      </c>
      <c r="J168" s="19">
        <v>2175</v>
      </c>
      <c r="K168" s="21">
        <v>56378</v>
      </c>
      <c r="L168" s="19">
        <v>198056</v>
      </c>
      <c r="M168" s="4" t="s">
        <v>63</v>
      </c>
      <c r="N168" s="6">
        <f t="shared" si="5"/>
        <v>1.6616512501514722</v>
      </c>
    </row>
    <row r="169" spans="1:14" x14ac:dyDescent="0.3">
      <c r="A169" s="4" t="s">
        <v>317</v>
      </c>
      <c r="B169" s="4" t="s">
        <v>14</v>
      </c>
      <c r="C169" s="5" t="s">
        <v>318</v>
      </c>
      <c r="D169" s="4" t="s">
        <v>16</v>
      </c>
      <c r="E169" s="6" t="s">
        <v>22</v>
      </c>
      <c r="F169" s="6" t="s">
        <v>23</v>
      </c>
      <c r="G169" s="16">
        <v>19022</v>
      </c>
      <c r="H169" s="16">
        <v>541</v>
      </c>
      <c r="I169" s="16">
        <v>575</v>
      </c>
      <c r="J169" s="19">
        <v>2063</v>
      </c>
      <c r="K169" s="21">
        <v>42743</v>
      </c>
      <c r="L169" s="19">
        <v>150169</v>
      </c>
      <c r="M169" s="4" t="s">
        <v>19</v>
      </c>
      <c r="N169" s="6">
        <f t="shared" si="5"/>
        <v>13.410224480418728</v>
      </c>
    </row>
    <row r="170" spans="1:14" x14ac:dyDescent="0.3">
      <c r="A170" s="4" t="s">
        <v>319</v>
      </c>
      <c r="B170" s="4" t="s">
        <v>14</v>
      </c>
      <c r="C170" s="5" t="s">
        <v>320</v>
      </c>
      <c r="D170" s="4" t="s">
        <v>16</v>
      </c>
      <c r="E170" s="6" t="s">
        <v>44</v>
      </c>
      <c r="F170" s="6" t="s">
        <v>45</v>
      </c>
      <c r="G170" s="16">
        <v>2055</v>
      </c>
      <c r="H170" s="16">
        <v>675</v>
      </c>
      <c r="I170" s="16">
        <v>257</v>
      </c>
      <c r="J170" s="19">
        <v>820</v>
      </c>
      <c r="K170" s="21">
        <v>33534</v>
      </c>
      <c r="L170" s="19">
        <v>48125</v>
      </c>
      <c r="M170" s="4" t="s">
        <v>19</v>
      </c>
      <c r="N170" s="6">
        <f t="shared" si="5"/>
        <v>6.2067532467532462</v>
      </c>
    </row>
    <row r="171" spans="1:14" x14ac:dyDescent="0.3">
      <c r="A171" s="4" t="s">
        <v>321</v>
      </c>
      <c r="B171" s="4" t="s">
        <v>53</v>
      </c>
      <c r="C171" s="5" t="s">
        <v>322</v>
      </c>
      <c r="D171" s="4" t="s">
        <v>43</v>
      </c>
      <c r="E171" s="6" t="s">
        <v>78</v>
      </c>
      <c r="F171" s="6" t="s">
        <v>40</v>
      </c>
      <c r="G171" s="16">
        <v>15013</v>
      </c>
      <c r="H171" s="16">
        <v>1286</v>
      </c>
      <c r="I171" s="16">
        <v>599</v>
      </c>
      <c r="J171" s="19">
        <v>2001</v>
      </c>
      <c r="K171" s="21">
        <v>67839</v>
      </c>
      <c r="L171" s="19">
        <v>76059</v>
      </c>
      <c r="M171" s="4" t="s">
        <v>19</v>
      </c>
      <c r="N171" s="6">
        <f t="shared" si="5"/>
        <v>22.216963147030594</v>
      </c>
    </row>
    <row r="172" spans="1:14" x14ac:dyDescent="0.3">
      <c r="A172" s="4" t="s">
        <v>323</v>
      </c>
      <c r="B172" s="4" t="s">
        <v>21</v>
      </c>
      <c r="C172" s="5" t="s">
        <v>324</v>
      </c>
      <c r="D172" s="4" t="s">
        <v>16</v>
      </c>
      <c r="E172" s="6" t="s">
        <v>17</v>
      </c>
      <c r="F172" s="6" t="s">
        <v>18</v>
      </c>
      <c r="G172" s="16">
        <v>10717</v>
      </c>
      <c r="H172" s="16">
        <v>760</v>
      </c>
      <c r="I172" s="16">
        <v>460</v>
      </c>
      <c r="J172" s="19">
        <v>1316</v>
      </c>
      <c r="K172" s="21">
        <v>18164</v>
      </c>
      <c r="L172" s="19">
        <v>240641</v>
      </c>
      <c r="M172" s="4" t="s">
        <v>63</v>
      </c>
      <c r="N172" s="6">
        <f t="shared" si="5"/>
        <v>4.9605013277039243</v>
      </c>
    </row>
    <row r="173" spans="1:14" x14ac:dyDescent="0.3">
      <c r="A173" s="4" t="s">
        <v>325</v>
      </c>
      <c r="B173" s="4" t="s">
        <v>26</v>
      </c>
      <c r="C173" s="5" t="s">
        <v>326</v>
      </c>
      <c r="D173" s="4" t="s">
        <v>43</v>
      </c>
      <c r="E173" s="6" t="s">
        <v>177</v>
      </c>
      <c r="F173" s="6" t="s">
        <v>178</v>
      </c>
      <c r="G173" s="16">
        <v>10150</v>
      </c>
      <c r="H173" s="16">
        <v>526</v>
      </c>
      <c r="I173" s="16">
        <v>888</v>
      </c>
      <c r="J173" s="19">
        <v>1313</v>
      </c>
      <c r="K173" s="21">
        <v>51605</v>
      </c>
      <c r="L173" s="19">
        <v>143409</v>
      </c>
      <c r="M173" s="4" t="s">
        <v>19</v>
      </c>
      <c r="N173" s="6">
        <f>(G173+H173+I173)/L173*100</f>
        <v>8.063650119588031</v>
      </c>
    </row>
    <row r="174" spans="1:14" x14ac:dyDescent="0.3">
      <c r="A174" s="4" t="s">
        <v>327</v>
      </c>
      <c r="B174" s="4" t="s">
        <v>14</v>
      </c>
      <c r="C174" s="5" t="s">
        <v>328</v>
      </c>
      <c r="D174" s="4" t="s">
        <v>28</v>
      </c>
      <c r="E174" s="6" t="s">
        <v>35</v>
      </c>
      <c r="F174" s="6" t="s">
        <v>70</v>
      </c>
      <c r="G174" s="16">
        <v>4125</v>
      </c>
      <c r="H174" s="16">
        <v>1364</v>
      </c>
      <c r="I174" s="16">
        <v>319</v>
      </c>
      <c r="J174" s="19">
        <v>2848</v>
      </c>
      <c r="K174" s="21">
        <v>15379</v>
      </c>
      <c r="L174" s="19">
        <v>188159</v>
      </c>
      <c r="M174" s="4" t="s">
        <v>63</v>
      </c>
      <c r="N174" s="6">
        <f t="shared" ref="N174:N193" si="6">(G174+H174+I174)/L174*100</f>
        <v>3.0867510988047342</v>
      </c>
    </row>
    <row r="175" spans="1:14" x14ac:dyDescent="0.3">
      <c r="A175" s="4" t="s">
        <v>329</v>
      </c>
      <c r="B175" s="4" t="s">
        <v>21</v>
      </c>
      <c r="C175" s="5" t="s">
        <v>142</v>
      </c>
      <c r="D175" s="4" t="s">
        <v>43</v>
      </c>
      <c r="E175" s="6" t="s">
        <v>17</v>
      </c>
      <c r="F175" s="6" t="s">
        <v>18</v>
      </c>
      <c r="G175" s="16">
        <v>13479</v>
      </c>
      <c r="H175" s="16">
        <v>1189</v>
      </c>
      <c r="I175" s="16">
        <v>695</v>
      </c>
      <c r="J175" s="19">
        <v>416</v>
      </c>
      <c r="K175" s="21">
        <v>30229</v>
      </c>
      <c r="L175" s="19">
        <v>45704</v>
      </c>
      <c r="M175" s="4" t="s">
        <v>19</v>
      </c>
      <c r="N175" s="6">
        <f t="shared" si="6"/>
        <v>33.61412567827761</v>
      </c>
    </row>
    <row r="176" spans="1:14" x14ac:dyDescent="0.3">
      <c r="A176" s="4" t="s">
        <v>330</v>
      </c>
      <c r="B176" s="4" t="s">
        <v>21</v>
      </c>
      <c r="C176" s="5">
        <v>45938</v>
      </c>
      <c r="D176" s="4" t="s">
        <v>28</v>
      </c>
      <c r="E176" s="6" t="s">
        <v>35</v>
      </c>
      <c r="F176" s="6" t="s">
        <v>70</v>
      </c>
      <c r="G176" s="16">
        <v>17745</v>
      </c>
      <c r="H176" s="16">
        <v>414</v>
      </c>
      <c r="I176" s="16">
        <v>563</v>
      </c>
      <c r="J176" s="19">
        <v>2733</v>
      </c>
      <c r="K176" s="21">
        <v>995</v>
      </c>
      <c r="L176" s="19">
        <v>231648</v>
      </c>
      <c r="M176" s="4" t="s">
        <v>24</v>
      </c>
      <c r="N176" s="6">
        <f t="shared" si="6"/>
        <v>8.0820900676889078</v>
      </c>
    </row>
    <row r="177" spans="1:14" x14ac:dyDescent="0.3">
      <c r="A177" s="4" t="s">
        <v>331</v>
      </c>
      <c r="B177" s="4" t="s">
        <v>53</v>
      </c>
      <c r="C177" s="5">
        <v>45939</v>
      </c>
      <c r="D177" s="4" t="s">
        <v>43</v>
      </c>
      <c r="E177" s="6" t="s">
        <v>29</v>
      </c>
      <c r="F177" s="6" t="s">
        <v>30</v>
      </c>
      <c r="G177" s="16">
        <v>18748</v>
      </c>
      <c r="H177" s="16">
        <v>634</v>
      </c>
      <c r="I177" s="16">
        <v>400</v>
      </c>
      <c r="J177" s="19">
        <v>1667</v>
      </c>
      <c r="K177" s="21">
        <v>75813</v>
      </c>
      <c r="L177" s="19">
        <v>244456</v>
      </c>
      <c r="M177" s="4" t="s">
        <v>24</v>
      </c>
      <c r="N177" s="6">
        <f t="shared" si="6"/>
        <v>8.0922538207284749</v>
      </c>
    </row>
    <row r="178" spans="1:14" x14ac:dyDescent="0.3">
      <c r="A178" s="4" t="s">
        <v>332</v>
      </c>
      <c r="B178" s="4" t="s">
        <v>14</v>
      </c>
      <c r="C178" s="5" t="s">
        <v>333</v>
      </c>
      <c r="D178" s="4" t="s">
        <v>16</v>
      </c>
      <c r="E178" s="6" t="s">
        <v>78</v>
      </c>
      <c r="F178" s="6" t="s">
        <v>40</v>
      </c>
      <c r="G178" s="16">
        <v>8809</v>
      </c>
      <c r="H178" s="16">
        <v>1151</v>
      </c>
      <c r="I178" s="16">
        <v>908</v>
      </c>
      <c r="J178" s="19">
        <v>883</v>
      </c>
      <c r="K178" s="21">
        <v>42921</v>
      </c>
      <c r="L178" s="19">
        <v>151279</v>
      </c>
      <c r="M178" s="4" t="s">
        <v>63</v>
      </c>
      <c r="N178" s="6">
        <f t="shared" si="6"/>
        <v>7.1840771025720684</v>
      </c>
    </row>
    <row r="179" spans="1:14" x14ac:dyDescent="0.3">
      <c r="A179" s="4" t="s">
        <v>334</v>
      </c>
      <c r="B179" s="4" t="s">
        <v>14</v>
      </c>
      <c r="C179" s="5">
        <v>45940</v>
      </c>
      <c r="D179" s="4" t="s">
        <v>43</v>
      </c>
      <c r="E179" s="6" t="s">
        <v>29</v>
      </c>
      <c r="F179" s="6" t="s">
        <v>30</v>
      </c>
      <c r="G179" s="16">
        <v>6621</v>
      </c>
      <c r="H179" s="16">
        <v>922</v>
      </c>
      <c r="I179" s="16">
        <v>930</v>
      </c>
      <c r="J179" s="19">
        <v>694</v>
      </c>
      <c r="K179" s="21">
        <v>839</v>
      </c>
      <c r="L179" s="19">
        <v>243532</v>
      </c>
      <c r="M179" s="4" t="s">
        <v>24</v>
      </c>
      <c r="N179" s="6">
        <f t="shared" si="6"/>
        <v>3.4792142305733949</v>
      </c>
    </row>
    <row r="180" spans="1:14" x14ac:dyDescent="0.3">
      <c r="A180" s="4" t="s">
        <v>335</v>
      </c>
      <c r="B180" s="4" t="s">
        <v>26</v>
      </c>
      <c r="C180" s="5" t="s">
        <v>275</v>
      </c>
      <c r="D180" s="4" t="s">
        <v>16</v>
      </c>
      <c r="E180" s="6" t="s">
        <v>35</v>
      </c>
      <c r="F180" s="6" t="s">
        <v>70</v>
      </c>
      <c r="G180" s="16">
        <v>17034</v>
      </c>
      <c r="H180" s="16">
        <v>231</v>
      </c>
      <c r="I180" s="16">
        <v>290</v>
      </c>
      <c r="J180" s="19">
        <v>1387</v>
      </c>
      <c r="K180" s="21">
        <v>63550</v>
      </c>
      <c r="L180" s="19">
        <v>198280</v>
      </c>
      <c r="M180" s="4" t="s">
        <v>63</v>
      </c>
      <c r="N180" s="6">
        <f t="shared" si="6"/>
        <v>8.8536413153116804</v>
      </c>
    </row>
    <row r="181" spans="1:14" x14ac:dyDescent="0.3">
      <c r="A181" s="4" t="s">
        <v>336</v>
      </c>
      <c r="B181" s="4" t="s">
        <v>14</v>
      </c>
      <c r="C181" s="5">
        <v>45941</v>
      </c>
      <c r="D181" s="4" t="s">
        <v>43</v>
      </c>
      <c r="E181" s="6" t="s">
        <v>48</v>
      </c>
      <c r="F181" s="6" t="s">
        <v>49</v>
      </c>
      <c r="G181" s="16">
        <v>15623</v>
      </c>
      <c r="H181" s="16">
        <v>869</v>
      </c>
      <c r="I181" s="16">
        <v>423</v>
      </c>
      <c r="J181" s="19">
        <v>371</v>
      </c>
      <c r="K181" s="21">
        <v>47579</v>
      </c>
      <c r="L181" s="19">
        <v>158516</v>
      </c>
      <c r="M181" s="4" t="s">
        <v>24</v>
      </c>
      <c r="N181" s="6">
        <f t="shared" si="6"/>
        <v>10.670847106916652</v>
      </c>
    </row>
    <row r="182" spans="1:14" x14ac:dyDescent="0.3">
      <c r="A182" s="4" t="s">
        <v>337</v>
      </c>
      <c r="B182" s="4" t="s">
        <v>26</v>
      </c>
      <c r="C182" s="5">
        <v>45942</v>
      </c>
      <c r="D182" s="4" t="s">
        <v>43</v>
      </c>
      <c r="E182" s="6" t="s">
        <v>48</v>
      </c>
      <c r="F182" s="6" t="s">
        <v>49</v>
      </c>
      <c r="G182" s="16">
        <v>7126</v>
      </c>
      <c r="H182" s="16">
        <v>484</v>
      </c>
      <c r="I182" s="16">
        <v>565</v>
      </c>
      <c r="J182" s="19">
        <v>573</v>
      </c>
      <c r="K182" s="21">
        <v>7389</v>
      </c>
      <c r="L182" s="19">
        <v>237096</v>
      </c>
      <c r="M182" s="4" t="s">
        <v>24</v>
      </c>
      <c r="N182" s="6">
        <f t="shared" si="6"/>
        <v>3.4479704423524646</v>
      </c>
    </row>
    <row r="183" spans="1:14" x14ac:dyDescent="0.3">
      <c r="A183" s="4" t="s">
        <v>338</v>
      </c>
      <c r="B183" s="4" t="s">
        <v>14</v>
      </c>
      <c r="C183" s="5" t="s">
        <v>99</v>
      </c>
      <c r="D183" s="4" t="s">
        <v>34</v>
      </c>
      <c r="E183" s="6" t="s">
        <v>29</v>
      </c>
      <c r="F183" s="6" t="s">
        <v>30</v>
      </c>
      <c r="G183" s="16">
        <v>7122</v>
      </c>
      <c r="H183" s="16">
        <v>628</v>
      </c>
      <c r="I183" s="16">
        <v>757</v>
      </c>
      <c r="J183" s="19">
        <v>2313</v>
      </c>
      <c r="K183" s="21">
        <v>50924</v>
      </c>
      <c r="L183" s="19">
        <v>210954</v>
      </c>
      <c r="M183" s="4" t="s">
        <v>63</v>
      </c>
      <c r="N183" s="6">
        <f t="shared" si="6"/>
        <v>4.032632706656428</v>
      </c>
    </row>
    <row r="184" spans="1:14" x14ac:dyDescent="0.3">
      <c r="A184" s="4" t="s">
        <v>339</v>
      </c>
      <c r="B184" s="4" t="s">
        <v>53</v>
      </c>
      <c r="C184" s="5" t="s">
        <v>340</v>
      </c>
      <c r="D184" s="4" t="s">
        <v>16</v>
      </c>
      <c r="E184" s="6" t="s">
        <v>48</v>
      </c>
      <c r="F184" s="6" t="s">
        <v>49</v>
      </c>
      <c r="G184" s="16">
        <v>20030</v>
      </c>
      <c r="H184" s="16">
        <v>485</v>
      </c>
      <c r="I184" s="16">
        <v>888</v>
      </c>
      <c r="J184" s="19">
        <v>1643</v>
      </c>
      <c r="K184" s="21">
        <v>4322</v>
      </c>
      <c r="L184" s="19">
        <v>196995</v>
      </c>
      <c r="M184" s="4" t="s">
        <v>31</v>
      </c>
      <c r="N184" s="6">
        <f t="shared" si="6"/>
        <v>10.864742759968527</v>
      </c>
    </row>
    <row r="185" spans="1:14" x14ac:dyDescent="0.3">
      <c r="A185" s="4" t="s">
        <v>341</v>
      </c>
      <c r="B185" s="4" t="s">
        <v>14</v>
      </c>
      <c r="C185" s="5">
        <v>45943</v>
      </c>
      <c r="D185" s="4" t="s">
        <v>34</v>
      </c>
      <c r="E185" s="6" t="s">
        <v>35</v>
      </c>
      <c r="F185" s="6" t="s">
        <v>70</v>
      </c>
      <c r="G185" s="16">
        <v>19302</v>
      </c>
      <c r="H185" s="16">
        <v>1367</v>
      </c>
      <c r="I185" s="16">
        <v>188</v>
      </c>
      <c r="J185" s="19">
        <v>637</v>
      </c>
      <c r="K185" s="21">
        <v>31404</v>
      </c>
      <c r="L185" s="19">
        <v>154044</v>
      </c>
      <c r="M185" s="4" t="s">
        <v>24</v>
      </c>
      <c r="N185" s="6">
        <f t="shared" si="6"/>
        <v>13.53963802549921</v>
      </c>
    </row>
    <row r="186" spans="1:14" x14ac:dyDescent="0.3">
      <c r="A186" s="4" t="s">
        <v>342</v>
      </c>
      <c r="B186" s="4" t="s">
        <v>26</v>
      </c>
      <c r="C186" s="5" t="s">
        <v>343</v>
      </c>
      <c r="D186" s="4" t="s">
        <v>16</v>
      </c>
      <c r="E186" s="6" t="s">
        <v>22</v>
      </c>
      <c r="F186" s="6" t="s">
        <v>23</v>
      </c>
      <c r="G186" s="16">
        <v>21181</v>
      </c>
      <c r="H186" s="16">
        <v>1242</v>
      </c>
      <c r="I186" s="16">
        <v>963</v>
      </c>
      <c r="J186" s="19">
        <v>1689</v>
      </c>
      <c r="K186" s="21">
        <v>49329</v>
      </c>
      <c r="L186" s="19">
        <v>69165</v>
      </c>
      <c r="M186" s="4" t="s">
        <v>19</v>
      </c>
      <c r="N186" s="6">
        <f t="shared" si="6"/>
        <v>33.811899081905587</v>
      </c>
    </row>
    <row r="187" spans="1:14" x14ac:dyDescent="0.3">
      <c r="A187" s="4" t="s">
        <v>344</v>
      </c>
      <c r="B187" s="4" t="s">
        <v>26</v>
      </c>
      <c r="C187" s="5" t="s">
        <v>306</v>
      </c>
      <c r="D187" s="4" t="s">
        <v>34</v>
      </c>
      <c r="E187" s="6" t="s">
        <v>29</v>
      </c>
      <c r="F187" s="6" t="s">
        <v>30</v>
      </c>
      <c r="G187" s="16">
        <v>24890</v>
      </c>
      <c r="H187" s="16">
        <v>217</v>
      </c>
      <c r="I187" s="16">
        <v>178</v>
      </c>
      <c r="J187" s="19">
        <v>906</v>
      </c>
      <c r="K187" s="21">
        <v>54826</v>
      </c>
      <c r="L187" s="19">
        <v>107203</v>
      </c>
      <c r="M187" s="4" t="s">
        <v>31</v>
      </c>
      <c r="N187" s="6">
        <f t="shared" si="6"/>
        <v>23.586093672751694</v>
      </c>
    </row>
    <row r="188" spans="1:14" x14ac:dyDescent="0.3">
      <c r="A188" s="4" t="s">
        <v>345</v>
      </c>
      <c r="B188" s="4" t="s">
        <v>53</v>
      </c>
      <c r="C188" s="5" t="s">
        <v>346</v>
      </c>
      <c r="D188" s="4" t="s">
        <v>28</v>
      </c>
      <c r="E188" s="6" t="s">
        <v>177</v>
      </c>
      <c r="F188" s="6" t="s">
        <v>178</v>
      </c>
      <c r="G188" s="16">
        <v>7870</v>
      </c>
      <c r="H188" s="16">
        <v>968</v>
      </c>
      <c r="I188" s="16">
        <v>626</v>
      </c>
      <c r="J188" s="19">
        <v>465</v>
      </c>
      <c r="K188" s="21">
        <v>27184</v>
      </c>
      <c r="L188" s="19">
        <v>44114</v>
      </c>
      <c r="M188" s="4" t="s">
        <v>63</v>
      </c>
      <c r="N188" s="6">
        <f t="shared" si="6"/>
        <v>21.453506823230718</v>
      </c>
    </row>
    <row r="189" spans="1:14" x14ac:dyDescent="0.3">
      <c r="A189" s="4" t="s">
        <v>347</v>
      </c>
      <c r="B189" s="4" t="s">
        <v>14</v>
      </c>
      <c r="C189" s="5" t="s">
        <v>192</v>
      </c>
      <c r="D189" s="4" t="s">
        <v>43</v>
      </c>
      <c r="E189" s="6" t="s">
        <v>177</v>
      </c>
      <c r="F189" s="6" t="s">
        <v>178</v>
      </c>
      <c r="G189" s="16">
        <v>3531</v>
      </c>
      <c r="H189" s="16">
        <v>789</v>
      </c>
      <c r="I189" s="16">
        <v>467</v>
      </c>
      <c r="J189" s="19">
        <v>1867</v>
      </c>
      <c r="K189" s="21">
        <v>40816</v>
      </c>
      <c r="L189" s="19">
        <v>236037</v>
      </c>
      <c r="M189" s="4" t="s">
        <v>31</v>
      </c>
      <c r="N189" s="6">
        <f t="shared" si="6"/>
        <v>2.0280718700881639</v>
      </c>
    </row>
    <row r="190" spans="1:14" x14ac:dyDescent="0.3">
      <c r="A190" s="4" t="s">
        <v>348</v>
      </c>
      <c r="B190" s="4" t="s">
        <v>14</v>
      </c>
      <c r="C190" s="5" t="s">
        <v>349</v>
      </c>
      <c r="D190" s="4" t="s">
        <v>16</v>
      </c>
      <c r="E190" s="6" t="s">
        <v>40</v>
      </c>
      <c r="F190" s="6"/>
      <c r="G190" s="16">
        <v>10172</v>
      </c>
      <c r="H190" s="16">
        <v>1398</v>
      </c>
      <c r="I190" s="16">
        <v>394</v>
      </c>
      <c r="J190" s="19">
        <v>2358</v>
      </c>
      <c r="K190" s="21">
        <v>59610</v>
      </c>
      <c r="L190" s="19">
        <v>76321</v>
      </c>
      <c r="M190" s="4" t="s">
        <v>37</v>
      </c>
      <c r="N190" s="6">
        <f t="shared" si="6"/>
        <v>15.675895231980713</v>
      </c>
    </row>
    <row r="191" spans="1:14" x14ac:dyDescent="0.3">
      <c r="A191" s="4" t="s">
        <v>350</v>
      </c>
      <c r="B191" s="4" t="s">
        <v>53</v>
      </c>
      <c r="C191" s="5" t="s">
        <v>351</v>
      </c>
      <c r="D191" s="4" t="s">
        <v>16</v>
      </c>
      <c r="E191" s="6" t="s">
        <v>44</v>
      </c>
      <c r="F191" s="6" t="s">
        <v>45</v>
      </c>
      <c r="G191" s="16">
        <v>21729</v>
      </c>
      <c r="H191" s="16">
        <v>1209</v>
      </c>
      <c r="I191" s="16">
        <v>897</v>
      </c>
      <c r="J191" s="19">
        <v>1624</v>
      </c>
      <c r="K191" s="21">
        <v>38771</v>
      </c>
      <c r="L191" s="19">
        <v>113297</v>
      </c>
      <c r="M191" s="4" t="s">
        <v>37</v>
      </c>
      <c r="N191" s="6">
        <f t="shared" si="6"/>
        <v>21.037626768581692</v>
      </c>
    </row>
    <row r="192" spans="1:14" x14ac:dyDescent="0.3">
      <c r="A192" s="4" t="s">
        <v>352</v>
      </c>
      <c r="B192" s="4" t="s">
        <v>14</v>
      </c>
      <c r="C192" s="5">
        <v>45944</v>
      </c>
      <c r="D192" s="4" t="s">
        <v>43</v>
      </c>
      <c r="E192" s="6" t="s">
        <v>78</v>
      </c>
      <c r="F192" s="6" t="s">
        <v>40</v>
      </c>
      <c r="G192" s="16">
        <v>9673</v>
      </c>
      <c r="H192" s="16">
        <v>393</v>
      </c>
      <c r="I192" s="16">
        <v>846</v>
      </c>
      <c r="J192" s="19">
        <v>1028</v>
      </c>
      <c r="K192" s="21">
        <v>55556</v>
      </c>
      <c r="L192" s="19">
        <v>136652</v>
      </c>
      <c r="M192" s="4" t="s">
        <v>24</v>
      </c>
      <c r="N192" s="6">
        <f t="shared" si="6"/>
        <v>7.9852471972601942</v>
      </c>
    </row>
    <row r="193" spans="1:14" x14ac:dyDescent="0.3">
      <c r="A193" s="4" t="s">
        <v>353</v>
      </c>
      <c r="B193" s="4" t="s">
        <v>14</v>
      </c>
      <c r="C193" s="5">
        <v>45945</v>
      </c>
      <c r="D193" s="4" t="s">
        <v>16</v>
      </c>
      <c r="E193" s="6" t="s">
        <v>48</v>
      </c>
      <c r="F193" s="6" t="s">
        <v>49</v>
      </c>
      <c r="G193" s="16">
        <v>8882</v>
      </c>
      <c r="H193" s="16">
        <v>701</v>
      </c>
      <c r="I193" s="16">
        <v>421</v>
      </c>
      <c r="J193" s="19">
        <v>2343</v>
      </c>
      <c r="K193" s="21">
        <v>13588</v>
      </c>
      <c r="L193" s="19">
        <v>139304</v>
      </c>
      <c r="M193" s="4" t="s">
        <v>24</v>
      </c>
      <c r="N193" s="6">
        <f t="shared" si="6"/>
        <v>7.1814161833113195</v>
      </c>
    </row>
    <row r="194" spans="1:14" x14ac:dyDescent="0.3">
      <c r="A194" s="4" t="s">
        <v>354</v>
      </c>
      <c r="B194" s="4" t="s">
        <v>26</v>
      </c>
      <c r="C194" s="5" t="s">
        <v>355</v>
      </c>
      <c r="D194" s="4" t="s">
        <v>16</v>
      </c>
      <c r="E194" s="6" t="s">
        <v>48</v>
      </c>
      <c r="F194" s="6" t="s">
        <v>49</v>
      </c>
      <c r="G194" s="16">
        <v>3906</v>
      </c>
      <c r="H194" s="16">
        <v>1187</v>
      </c>
      <c r="I194" s="16">
        <v>589</v>
      </c>
      <c r="J194" s="19">
        <v>401</v>
      </c>
      <c r="K194" s="21">
        <v>52687</v>
      </c>
      <c r="L194" s="19">
        <v>196498</v>
      </c>
      <c r="M194" s="4" t="s">
        <v>19</v>
      </c>
      <c r="N194" s="6">
        <f>(G194+H194+I194)/L194*100</f>
        <v>2.8916324848090058</v>
      </c>
    </row>
    <row r="195" spans="1:14" x14ac:dyDescent="0.3">
      <c r="A195" s="4" t="s">
        <v>356</v>
      </c>
      <c r="B195" s="4" t="s">
        <v>14</v>
      </c>
      <c r="C195" s="5" t="s">
        <v>249</v>
      </c>
      <c r="D195" s="4" t="s">
        <v>34</v>
      </c>
      <c r="E195" s="6" t="s">
        <v>44</v>
      </c>
      <c r="F195" s="6" t="s">
        <v>45</v>
      </c>
      <c r="G195" s="16">
        <v>5086</v>
      </c>
      <c r="H195" s="16">
        <v>1336</v>
      </c>
      <c r="I195" s="16">
        <v>897</v>
      </c>
      <c r="J195" s="19">
        <v>1715</v>
      </c>
      <c r="K195" s="21">
        <v>60592</v>
      </c>
      <c r="L195" s="19">
        <v>57772</v>
      </c>
      <c r="M195" s="4" t="s">
        <v>31</v>
      </c>
      <c r="N195" s="6">
        <f t="shared" ref="N195:N214" si="7">(G195+H195+I195)/L195*100</f>
        <v>12.668766876687668</v>
      </c>
    </row>
    <row r="196" spans="1:14" x14ac:dyDescent="0.3">
      <c r="A196" s="4" t="s">
        <v>357</v>
      </c>
      <c r="B196" s="4" t="s">
        <v>14</v>
      </c>
      <c r="C196" s="5" t="s">
        <v>358</v>
      </c>
      <c r="D196" s="4" t="s">
        <v>16</v>
      </c>
      <c r="E196" s="6" t="s">
        <v>55</v>
      </c>
      <c r="F196" s="6" t="s">
        <v>56</v>
      </c>
      <c r="G196" s="16">
        <v>15503</v>
      </c>
      <c r="H196" s="16">
        <v>313</v>
      </c>
      <c r="I196" s="16">
        <v>388</v>
      </c>
      <c r="J196" s="19">
        <v>1078</v>
      </c>
      <c r="K196" s="21">
        <v>11500</v>
      </c>
      <c r="L196" s="19">
        <v>143754</v>
      </c>
      <c r="M196" s="4" t="s">
        <v>37</v>
      </c>
      <c r="N196" s="6">
        <f t="shared" si="7"/>
        <v>11.27203416948398</v>
      </c>
    </row>
    <row r="197" spans="1:14" x14ac:dyDescent="0.3">
      <c r="A197" s="4" t="s">
        <v>359</v>
      </c>
      <c r="B197" s="4" t="s">
        <v>53</v>
      </c>
      <c r="C197" s="5">
        <v>45918</v>
      </c>
      <c r="D197" s="4" t="s">
        <v>28</v>
      </c>
      <c r="E197" s="6" t="s">
        <v>93</v>
      </c>
      <c r="F197" s="6"/>
      <c r="G197" s="16">
        <v>10152</v>
      </c>
      <c r="H197" s="16">
        <v>1445</v>
      </c>
      <c r="I197" s="16">
        <v>526</v>
      </c>
      <c r="J197" s="19">
        <v>513</v>
      </c>
      <c r="K197" s="21">
        <v>18959</v>
      </c>
      <c r="L197" s="19">
        <v>43712</v>
      </c>
      <c r="M197" s="4" t="s">
        <v>24</v>
      </c>
      <c r="N197" s="6">
        <f t="shared" si="7"/>
        <v>27.733803074670572</v>
      </c>
    </row>
    <row r="198" spans="1:14" x14ac:dyDescent="0.3">
      <c r="A198" s="4" t="s">
        <v>360</v>
      </c>
      <c r="B198" s="4" t="s">
        <v>53</v>
      </c>
      <c r="C198" s="5" t="s">
        <v>299</v>
      </c>
      <c r="D198" s="4" t="s">
        <v>28</v>
      </c>
      <c r="E198" s="6" t="s">
        <v>29</v>
      </c>
      <c r="F198" s="6" t="s">
        <v>30</v>
      </c>
      <c r="G198" s="16">
        <v>7750</v>
      </c>
      <c r="H198" s="16">
        <v>1146</v>
      </c>
      <c r="I198" s="16">
        <v>415</v>
      </c>
      <c r="J198" s="19">
        <v>1411</v>
      </c>
      <c r="K198" s="21">
        <v>85339</v>
      </c>
      <c r="L198" s="19">
        <v>172439</v>
      </c>
      <c r="M198" s="4" t="s">
        <v>31</v>
      </c>
      <c r="N198" s="6">
        <f t="shared" si="7"/>
        <v>5.3995905798572243</v>
      </c>
    </row>
    <row r="199" spans="1:14" x14ac:dyDescent="0.3">
      <c r="A199" s="4" t="s">
        <v>361</v>
      </c>
      <c r="B199" s="4" t="s">
        <v>21</v>
      </c>
      <c r="C199" s="5">
        <v>45919</v>
      </c>
      <c r="D199" s="4" t="s">
        <v>43</v>
      </c>
      <c r="E199" s="6" t="s">
        <v>35</v>
      </c>
      <c r="F199" s="6" t="s">
        <v>36</v>
      </c>
      <c r="G199" s="16">
        <v>14772</v>
      </c>
      <c r="H199" s="16">
        <v>1030</v>
      </c>
      <c r="I199" s="16">
        <v>508</v>
      </c>
      <c r="J199" s="19">
        <v>1876</v>
      </c>
      <c r="K199" s="21">
        <v>8882</v>
      </c>
      <c r="L199" s="19">
        <v>155142</v>
      </c>
      <c r="M199" s="4" t="s">
        <v>24</v>
      </c>
      <c r="N199" s="6">
        <f t="shared" si="7"/>
        <v>10.512949426976578</v>
      </c>
    </row>
    <row r="200" spans="1:14" x14ac:dyDescent="0.3">
      <c r="A200" s="4" t="s">
        <v>362</v>
      </c>
      <c r="B200" s="4" t="s">
        <v>26</v>
      </c>
      <c r="C200" s="5">
        <v>45920</v>
      </c>
      <c r="D200" s="4" t="s">
        <v>16</v>
      </c>
      <c r="E200" s="6" t="s">
        <v>48</v>
      </c>
      <c r="F200" s="6" t="s">
        <v>49</v>
      </c>
      <c r="G200" s="16">
        <v>12267</v>
      </c>
      <c r="H200" s="16">
        <v>1487</v>
      </c>
      <c r="I200" s="16">
        <v>489</v>
      </c>
      <c r="J200" s="19">
        <v>2748</v>
      </c>
      <c r="K200" s="21">
        <v>34685</v>
      </c>
      <c r="L200" s="19">
        <v>131736</v>
      </c>
      <c r="M200" s="4" t="s">
        <v>24</v>
      </c>
      <c r="N200" s="6">
        <f t="shared" si="7"/>
        <v>10.811775065282079</v>
      </c>
    </row>
    <row r="201" spans="1:14" x14ac:dyDescent="0.3">
      <c r="A201" s="4" t="s">
        <v>363</v>
      </c>
      <c r="B201" s="4" t="s">
        <v>14</v>
      </c>
      <c r="C201" s="5" t="s">
        <v>364</v>
      </c>
      <c r="D201" s="4" t="s">
        <v>43</v>
      </c>
      <c r="E201" s="6" t="s">
        <v>78</v>
      </c>
      <c r="F201" s="6" t="s">
        <v>40</v>
      </c>
      <c r="G201" s="16">
        <v>3062</v>
      </c>
      <c r="H201" s="16">
        <v>1124</v>
      </c>
      <c r="I201" s="16">
        <v>538</v>
      </c>
      <c r="J201" s="19">
        <v>2935</v>
      </c>
      <c r="K201" s="21">
        <v>69749</v>
      </c>
      <c r="L201" s="19">
        <v>91924</v>
      </c>
      <c r="M201" s="4" t="s">
        <v>37</v>
      </c>
      <c r="N201" s="6">
        <f t="shared" si="7"/>
        <v>5.1390278926069364</v>
      </c>
    </row>
    <row r="202" spans="1:14" x14ac:dyDescent="0.3">
      <c r="A202" s="4" t="s">
        <v>365</v>
      </c>
      <c r="B202" s="4" t="s">
        <v>14</v>
      </c>
      <c r="C202" s="5" t="s">
        <v>366</v>
      </c>
      <c r="D202" s="4" t="s">
        <v>28</v>
      </c>
      <c r="E202" s="6" t="s">
        <v>40</v>
      </c>
      <c r="F202" s="6"/>
      <c r="G202" s="16">
        <v>20360</v>
      </c>
      <c r="H202" s="16">
        <v>254</v>
      </c>
      <c r="I202" s="16">
        <v>726</v>
      </c>
      <c r="J202" s="19">
        <v>1995</v>
      </c>
      <c r="K202" s="21">
        <v>14280</v>
      </c>
      <c r="L202" s="19">
        <v>43726</v>
      </c>
      <c r="M202" s="4" t="s">
        <v>37</v>
      </c>
      <c r="N202" s="6">
        <f t="shared" si="7"/>
        <v>48.803915290673736</v>
      </c>
    </row>
    <row r="203" spans="1:14" x14ac:dyDescent="0.3">
      <c r="A203" s="4" t="s">
        <v>367</v>
      </c>
      <c r="B203" s="4" t="s">
        <v>21</v>
      </c>
      <c r="C203" s="5">
        <v>45921</v>
      </c>
      <c r="D203" s="4" t="s">
        <v>16</v>
      </c>
      <c r="E203" s="6" t="s">
        <v>177</v>
      </c>
      <c r="F203" s="6" t="s">
        <v>178</v>
      </c>
      <c r="G203" s="16">
        <v>19680</v>
      </c>
      <c r="H203" s="16">
        <v>999</v>
      </c>
      <c r="I203" s="16">
        <v>838</v>
      </c>
      <c r="J203" s="19">
        <v>891</v>
      </c>
      <c r="K203" s="21">
        <v>29576</v>
      </c>
      <c r="L203" s="19">
        <v>129152</v>
      </c>
      <c r="M203" s="4" t="s">
        <v>24</v>
      </c>
      <c r="N203" s="6">
        <f t="shared" si="7"/>
        <v>16.660214321110008</v>
      </c>
    </row>
    <row r="204" spans="1:14" x14ac:dyDescent="0.3">
      <c r="A204" s="4" t="s">
        <v>368</v>
      </c>
      <c r="B204" s="4" t="s">
        <v>14</v>
      </c>
      <c r="C204" s="5" t="s">
        <v>369</v>
      </c>
      <c r="D204" s="4" t="s">
        <v>16</v>
      </c>
      <c r="E204" s="6" t="s">
        <v>48</v>
      </c>
      <c r="F204" s="6" t="s">
        <v>49</v>
      </c>
      <c r="G204" s="16">
        <v>8229</v>
      </c>
      <c r="H204" s="16">
        <v>977</v>
      </c>
      <c r="I204" s="16">
        <v>152</v>
      </c>
      <c r="J204" s="19">
        <v>1633</v>
      </c>
      <c r="K204" s="21">
        <v>71447</v>
      </c>
      <c r="L204" s="19">
        <v>67723</v>
      </c>
      <c r="M204" s="4" t="s">
        <v>63</v>
      </c>
      <c r="N204" s="6">
        <f t="shared" si="7"/>
        <v>13.818052950991538</v>
      </c>
    </row>
    <row r="205" spans="1:14" x14ac:dyDescent="0.3">
      <c r="A205" s="4" t="s">
        <v>370</v>
      </c>
      <c r="B205" s="4" t="s">
        <v>26</v>
      </c>
      <c r="C205" s="5">
        <v>45922</v>
      </c>
      <c r="D205" s="4" t="s">
        <v>43</v>
      </c>
      <c r="E205" s="6" t="s">
        <v>40</v>
      </c>
      <c r="F205" s="6"/>
      <c r="G205" s="16">
        <v>18509</v>
      </c>
      <c r="H205" s="16">
        <v>361</v>
      </c>
      <c r="I205" s="16">
        <v>578</v>
      </c>
      <c r="J205" s="19">
        <v>1409</v>
      </c>
      <c r="K205" s="21">
        <v>10569</v>
      </c>
      <c r="L205" s="19">
        <v>166969</v>
      </c>
      <c r="M205" s="4" t="s">
        <v>24</v>
      </c>
      <c r="N205" s="6">
        <f t="shared" si="7"/>
        <v>11.647671124580011</v>
      </c>
    </row>
    <row r="206" spans="1:14" x14ac:dyDescent="0.3">
      <c r="A206" s="4" t="s">
        <v>371</v>
      </c>
      <c r="B206" s="4" t="s">
        <v>21</v>
      </c>
      <c r="C206" s="5">
        <v>45923</v>
      </c>
      <c r="D206" s="4" t="s">
        <v>28</v>
      </c>
      <c r="E206" s="6" t="s">
        <v>35</v>
      </c>
      <c r="F206" s="6" t="s">
        <v>70</v>
      </c>
      <c r="G206" s="16">
        <v>17147</v>
      </c>
      <c r="H206" s="16">
        <v>286</v>
      </c>
      <c r="I206" s="16">
        <v>291</v>
      </c>
      <c r="J206" s="19">
        <v>2439</v>
      </c>
      <c r="K206" s="21">
        <v>45631</v>
      </c>
      <c r="L206" s="19">
        <v>140494</v>
      </c>
      <c r="M206" s="4" t="s">
        <v>24</v>
      </c>
      <c r="N206" s="6">
        <f t="shared" si="7"/>
        <v>12.615485358805358</v>
      </c>
    </row>
    <row r="207" spans="1:14" x14ac:dyDescent="0.3">
      <c r="A207" s="4" t="s">
        <v>372</v>
      </c>
      <c r="B207" s="4" t="s">
        <v>26</v>
      </c>
      <c r="C207" s="5" t="s">
        <v>42</v>
      </c>
      <c r="D207" s="4" t="s">
        <v>16</v>
      </c>
      <c r="E207" s="6" t="s">
        <v>35</v>
      </c>
      <c r="F207" s="6" t="s">
        <v>70</v>
      </c>
      <c r="G207" s="16">
        <v>6632</v>
      </c>
      <c r="H207" s="16">
        <v>254</v>
      </c>
      <c r="I207" s="16">
        <v>525</v>
      </c>
      <c r="J207" s="19">
        <v>1013</v>
      </c>
      <c r="K207" s="21">
        <v>13838</v>
      </c>
      <c r="L207" s="19">
        <v>180180</v>
      </c>
      <c r="M207" s="4" t="s">
        <v>19</v>
      </c>
      <c r="N207" s="6">
        <f t="shared" si="7"/>
        <v>4.1131091131091129</v>
      </c>
    </row>
    <row r="208" spans="1:14" x14ac:dyDescent="0.3">
      <c r="A208" s="4" t="s">
        <v>373</v>
      </c>
      <c r="B208" s="4" t="s">
        <v>21</v>
      </c>
      <c r="C208" s="5" t="s">
        <v>374</v>
      </c>
      <c r="D208" s="4" t="s">
        <v>43</v>
      </c>
      <c r="E208" s="6" t="s">
        <v>93</v>
      </c>
      <c r="F208" s="6"/>
      <c r="G208" s="16">
        <v>8288</v>
      </c>
      <c r="H208" s="16">
        <v>1401</v>
      </c>
      <c r="I208" s="16">
        <v>819</v>
      </c>
      <c r="J208" s="19">
        <v>1235</v>
      </c>
      <c r="K208" s="21">
        <v>33446</v>
      </c>
      <c r="L208" s="19">
        <v>248786</v>
      </c>
      <c r="M208" s="4" t="s">
        <v>19</v>
      </c>
      <c r="N208" s="6">
        <f t="shared" si="7"/>
        <v>4.2237103373984066</v>
      </c>
    </row>
    <row r="209" spans="1:14" x14ac:dyDescent="0.3">
      <c r="A209" s="4" t="s">
        <v>375</v>
      </c>
      <c r="B209" s="4" t="s">
        <v>21</v>
      </c>
      <c r="C209" s="5" t="s">
        <v>42</v>
      </c>
      <c r="D209" s="4" t="s">
        <v>28</v>
      </c>
      <c r="E209" s="6" t="s">
        <v>22</v>
      </c>
      <c r="F209" s="6" t="s">
        <v>23</v>
      </c>
      <c r="G209" s="16">
        <v>5596</v>
      </c>
      <c r="H209" s="16">
        <v>1231</v>
      </c>
      <c r="I209" s="16">
        <v>473</v>
      </c>
      <c r="J209" s="19">
        <v>2251</v>
      </c>
      <c r="K209" s="21">
        <v>43705</v>
      </c>
      <c r="L209" s="19">
        <v>75643</v>
      </c>
      <c r="M209" s="4" t="s">
        <v>19</v>
      </c>
      <c r="N209" s="6">
        <f t="shared" si="7"/>
        <v>9.6505955607260425</v>
      </c>
    </row>
    <row r="210" spans="1:14" x14ac:dyDescent="0.3">
      <c r="A210" s="4" t="s">
        <v>376</v>
      </c>
      <c r="B210" s="4" t="s">
        <v>53</v>
      </c>
      <c r="C210" s="5" t="s">
        <v>377</v>
      </c>
      <c r="D210" s="4" t="s">
        <v>43</v>
      </c>
      <c r="E210" s="6" t="s">
        <v>35</v>
      </c>
      <c r="F210" s="6" t="s">
        <v>36</v>
      </c>
      <c r="G210" s="16">
        <v>13475</v>
      </c>
      <c r="H210" s="16">
        <v>1032</v>
      </c>
      <c r="I210" s="16">
        <v>295</v>
      </c>
      <c r="J210" s="19">
        <v>541</v>
      </c>
      <c r="K210" s="21">
        <v>43666</v>
      </c>
      <c r="L210" s="19">
        <v>202396</v>
      </c>
      <c r="M210" s="4" t="s">
        <v>63</v>
      </c>
      <c r="N210" s="6">
        <f t="shared" si="7"/>
        <v>7.3133856400324122</v>
      </c>
    </row>
    <row r="211" spans="1:14" x14ac:dyDescent="0.3">
      <c r="A211" s="4" t="s">
        <v>378</v>
      </c>
      <c r="B211" s="4" t="s">
        <v>26</v>
      </c>
      <c r="C211" s="5" t="s">
        <v>379</v>
      </c>
      <c r="D211" s="4" t="s">
        <v>34</v>
      </c>
      <c r="E211" s="6" t="s">
        <v>55</v>
      </c>
      <c r="F211" s="6" t="s">
        <v>56</v>
      </c>
      <c r="G211" s="16">
        <v>8168</v>
      </c>
      <c r="H211" s="16">
        <v>512</v>
      </c>
      <c r="I211" s="16">
        <v>442</v>
      </c>
      <c r="J211" s="19">
        <v>2343</v>
      </c>
      <c r="K211" s="21">
        <v>2753</v>
      </c>
      <c r="L211" s="19">
        <v>143896</v>
      </c>
      <c r="M211" s="4" t="s">
        <v>63</v>
      </c>
      <c r="N211" s="6">
        <f t="shared" si="7"/>
        <v>6.3393006059932171</v>
      </c>
    </row>
    <row r="212" spans="1:14" x14ac:dyDescent="0.3">
      <c r="A212" s="4" t="s">
        <v>380</v>
      </c>
      <c r="B212" s="4" t="s">
        <v>14</v>
      </c>
      <c r="C212" s="5">
        <v>45924</v>
      </c>
      <c r="D212" s="4" t="s">
        <v>16</v>
      </c>
      <c r="E212" s="6" t="s">
        <v>93</v>
      </c>
      <c r="F212" s="6"/>
      <c r="G212" s="16">
        <v>11795</v>
      </c>
      <c r="H212" s="16">
        <v>958</v>
      </c>
      <c r="I212" s="16">
        <v>814</v>
      </c>
      <c r="J212" s="19">
        <v>301</v>
      </c>
      <c r="K212" s="21">
        <v>12564</v>
      </c>
      <c r="L212" s="19">
        <v>179999</v>
      </c>
      <c r="M212" s="4" t="s">
        <v>24</v>
      </c>
      <c r="N212" s="6">
        <f t="shared" si="7"/>
        <v>7.5372640959116444</v>
      </c>
    </row>
    <row r="213" spans="1:14" x14ac:dyDescent="0.3">
      <c r="A213" s="4" t="s">
        <v>381</v>
      </c>
      <c r="B213" s="4" t="s">
        <v>14</v>
      </c>
      <c r="C213" s="5" t="s">
        <v>166</v>
      </c>
      <c r="D213" s="4" t="s">
        <v>34</v>
      </c>
      <c r="E213" s="6" t="s">
        <v>17</v>
      </c>
      <c r="F213" s="6" t="s">
        <v>18</v>
      </c>
      <c r="G213" s="16">
        <v>9561</v>
      </c>
      <c r="H213" s="16">
        <v>642</v>
      </c>
      <c r="I213" s="16">
        <v>581</v>
      </c>
      <c r="J213" s="19">
        <v>2572</v>
      </c>
      <c r="K213" s="21">
        <v>38552</v>
      </c>
      <c r="L213" s="19">
        <v>133680</v>
      </c>
      <c r="M213" s="4" t="s">
        <v>19</v>
      </c>
      <c r="N213" s="6">
        <f t="shared" si="7"/>
        <v>8.0670257330939563</v>
      </c>
    </row>
    <row r="214" spans="1:14" x14ac:dyDescent="0.3">
      <c r="A214" s="4" t="s">
        <v>382</v>
      </c>
      <c r="B214" s="4" t="s">
        <v>26</v>
      </c>
      <c r="C214" s="5" t="s">
        <v>383</v>
      </c>
      <c r="D214" s="4" t="s">
        <v>28</v>
      </c>
      <c r="E214" s="6" t="s">
        <v>55</v>
      </c>
      <c r="F214" s="6" t="s">
        <v>56</v>
      </c>
      <c r="G214" s="16">
        <v>10258</v>
      </c>
      <c r="H214" s="16">
        <v>527</v>
      </c>
      <c r="I214" s="16">
        <v>854</v>
      </c>
      <c r="J214" s="19">
        <v>2068</v>
      </c>
      <c r="K214" s="21">
        <v>45632</v>
      </c>
      <c r="L214" s="19">
        <v>136546</v>
      </c>
      <c r="M214" s="4" t="s">
        <v>63</v>
      </c>
      <c r="N214" s="6">
        <f t="shared" si="7"/>
        <v>8.5238674146441493</v>
      </c>
    </row>
    <row r="215" spans="1:14" x14ac:dyDescent="0.3">
      <c r="A215" s="4" t="s">
        <v>384</v>
      </c>
      <c r="B215" s="4" t="s">
        <v>14</v>
      </c>
      <c r="C215" s="5" t="s">
        <v>15</v>
      </c>
      <c r="D215" s="4" t="s">
        <v>34</v>
      </c>
      <c r="E215" s="6" t="s">
        <v>29</v>
      </c>
      <c r="F215" s="6" t="s">
        <v>30</v>
      </c>
      <c r="G215" s="16">
        <v>18616</v>
      </c>
      <c r="H215" s="16">
        <v>1277</v>
      </c>
      <c r="I215" s="16">
        <v>734</v>
      </c>
      <c r="J215" s="19">
        <v>2249</v>
      </c>
      <c r="K215" s="21">
        <v>3399</v>
      </c>
      <c r="L215" s="19">
        <v>193515</v>
      </c>
      <c r="M215" s="4" t="s">
        <v>37</v>
      </c>
      <c r="N215" s="6">
        <f>(G215+H215+I215)/L215*100</f>
        <v>10.659122031883832</v>
      </c>
    </row>
    <row r="216" spans="1:14" x14ac:dyDescent="0.3">
      <c r="A216" s="4" t="s">
        <v>385</v>
      </c>
      <c r="B216" s="4" t="s">
        <v>14</v>
      </c>
      <c r="C216" s="5">
        <v>45925</v>
      </c>
      <c r="D216" s="4" t="s">
        <v>34</v>
      </c>
      <c r="E216" s="6" t="s">
        <v>78</v>
      </c>
      <c r="F216" s="6" t="s">
        <v>40</v>
      </c>
      <c r="G216" s="16">
        <v>8371</v>
      </c>
      <c r="H216" s="16">
        <v>960</v>
      </c>
      <c r="I216" s="16">
        <v>548</v>
      </c>
      <c r="J216" s="19">
        <v>2936</v>
      </c>
      <c r="K216" s="21">
        <v>82543</v>
      </c>
      <c r="L216" s="19">
        <v>119973</v>
      </c>
      <c r="M216" s="4" t="s">
        <v>24</v>
      </c>
      <c r="N216" s="6">
        <f t="shared" ref="N216:N240" si="8">(G216+H216+I216)/L216*100</f>
        <v>8.2343527293641063</v>
      </c>
    </row>
    <row r="217" spans="1:14" x14ac:dyDescent="0.3">
      <c r="A217" s="4" t="s">
        <v>386</v>
      </c>
      <c r="B217" s="4" t="s">
        <v>26</v>
      </c>
      <c r="C217" s="5" t="s">
        <v>230</v>
      </c>
      <c r="D217" s="4" t="s">
        <v>28</v>
      </c>
      <c r="E217" s="6" t="s">
        <v>17</v>
      </c>
      <c r="F217" s="6" t="s">
        <v>18</v>
      </c>
      <c r="G217" s="16">
        <v>22590</v>
      </c>
      <c r="H217" s="16">
        <v>1462</v>
      </c>
      <c r="I217" s="16">
        <v>966</v>
      </c>
      <c r="J217" s="19">
        <v>2463</v>
      </c>
      <c r="K217" s="21">
        <v>29689</v>
      </c>
      <c r="L217" s="19">
        <v>103449</v>
      </c>
      <c r="M217" s="4" t="s">
        <v>31</v>
      </c>
      <c r="N217" s="6">
        <f t="shared" si="8"/>
        <v>24.183897379385012</v>
      </c>
    </row>
    <row r="218" spans="1:14" x14ac:dyDescent="0.3">
      <c r="A218" s="4" t="s">
        <v>387</v>
      </c>
      <c r="B218" s="4" t="s">
        <v>21</v>
      </c>
      <c r="C218" s="5">
        <v>45926</v>
      </c>
      <c r="D218" s="4" t="s">
        <v>43</v>
      </c>
      <c r="E218" s="6" t="s">
        <v>17</v>
      </c>
      <c r="F218" s="6" t="s">
        <v>18</v>
      </c>
      <c r="G218" s="16">
        <v>16369</v>
      </c>
      <c r="H218" s="16">
        <v>1452</v>
      </c>
      <c r="I218" s="16">
        <v>493</v>
      </c>
      <c r="J218" s="19">
        <v>1217</v>
      </c>
      <c r="K218" s="21">
        <v>91440</v>
      </c>
      <c r="L218" s="19">
        <v>149834</v>
      </c>
      <c r="M218" s="4" t="s">
        <v>24</v>
      </c>
      <c r="N218" s="6">
        <f t="shared" si="8"/>
        <v>12.222859965027965</v>
      </c>
    </row>
    <row r="219" spans="1:14" x14ac:dyDescent="0.3">
      <c r="A219" s="4" t="s">
        <v>388</v>
      </c>
      <c r="B219" s="4" t="s">
        <v>26</v>
      </c>
      <c r="C219" s="5" t="s">
        <v>389</v>
      </c>
      <c r="D219" s="4" t="s">
        <v>34</v>
      </c>
      <c r="E219" s="6" t="s">
        <v>93</v>
      </c>
      <c r="F219" s="6"/>
      <c r="G219" s="16">
        <v>14910</v>
      </c>
      <c r="H219" s="16">
        <v>778</v>
      </c>
      <c r="I219" s="16">
        <v>289</v>
      </c>
      <c r="J219" s="19">
        <v>2541</v>
      </c>
      <c r="K219" s="21">
        <v>14309</v>
      </c>
      <c r="L219" s="19">
        <v>247815</v>
      </c>
      <c r="M219" s="4" t="s">
        <v>31</v>
      </c>
      <c r="N219" s="6">
        <f t="shared" si="8"/>
        <v>6.4471480741682292</v>
      </c>
    </row>
    <row r="220" spans="1:14" x14ac:dyDescent="0.3">
      <c r="A220" s="4" t="s">
        <v>390</v>
      </c>
      <c r="B220" s="4" t="s">
        <v>21</v>
      </c>
      <c r="C220" s="5" t="s">
        <v>144</v>
      </c>
      <c r="D220" s="4" t="s">
        <v>43</v>
      </c>
      <c r="E220" s="6" t="s">
        <v>44</v>
      </c>
      <c r="F220" s="6" t="s">
        <v>45</v>
      </c>
      <c r="G220" s="16">
        <v>9943</v>
      </c>
      <c r="H220" s="16">
        <v>1274</v>
      </c>
      <c r="I220" s="16">
        <v>336</v>
      </c>
      <c r="J220" s="19">
        <v>389</v>
      </c>
      <c r="K220" s="21">
        <v>6145</v>
      </c>
      <c r="L220" s="19">
        <v>231305</v>
      </c>
      <c r="M220" s="4" t="s">
        <v>19</v>
      </c>
      <c r="N220" s="6">
        <f t="shared" si="8"/>
        <v>4.994703962300858</v>
      </c>
    </row>
    <row r="221" spans="1:14" x14ac:dyDescent="0.3">
      <c r="A221" s="4" t="s">
        <v>391</v>
      </c>
      <c r="B221" s="4" t="s">
        <v>14</v>
      </c>
      <c r="C221" s="5" t="s">
        <v>392</v>
      </c>
      <c r="D221" s="4" t="s">
        <v>34</v>
      </c>
      <c r="E221" s="6" t="s">
        <v>22</v>
      </c>
      <c r="F221" s="6" t="s">
        <v>23</v>
      </c>
      <c r="G221" s="16">
        <v>14199</v>
      </c>
      <c r="H221" s="16">
        <v>1206</v>
      </c>
      <c r="I221" s="16">
        <v>954</v>
      </c>
      <c r="J221" s="19">
        <v>2009</v>
      </c>
      <c r="K221" s="21">
        <v>8</v>
      </c>
      <c r="L221" s="19">
        <v>65537</v>
      </c>
      <c r="M221" s="4" t="s">
        <v>31</v>
      </c>
      <c r="N221" s="6">
        <f t="shared" si="8"/>
        <v>24.961472145505592</v>
      </c>
    </row>
    <row r="222" spans="1:14" x14ac:dyDescent="0.3">
      <c r="A222" s="4" t="s">
        <v>393</v>
      </c>
      <c r="B222" s="4" t="s">
        <v>14</v>
      </c>
      <c r="C222" s="5" t="s">
        <v>219</v>
      </c>
      <c r="D222" s="4" t="s">
        <v>43</v>
      </c>
      <c r="E222" s="6" t="s">
        <v>44</v>
      </c>
      <c r="F222" s="6" t="s">
        <v>45</v>
      </c>
      <c r="G222" s="16">
        <v>17728</v>
      </c>
      <c r="H222" s="16">
        <v>1487</v>
      </c>
      <c r="I222" s="16">
        <v>210</v>
      </c>
      <c r="J222" s="19">
        <v>2469</v>
      </c>
      <c r="K222" s="21">
        <v>30565</v>
      </c>
      <c r="L222" s="19">
        <v>117576</v>
      </c>
      <c r="M222" s="4" t="s">
        <v>19</v>
      </c>
      <c r="N222" s="6">
        <f t="shared" si="8"/>
        <v>16.521228822208613</v>
      </c>
    </row>
    <row r="223" spans="1:14" x14ac:dyDescent="0.3">
      <c r="A223" s="4" t="s">
        <v>394</v>
      </c>
      <c r="B223" s="4" t="s">
        <v>14</v>
      </c>
      <c r="C223" s="5" t="s">
        <v>395</v>
      </c>
      <c r="D223" s="4" t="s">
        <v>28</v>
      </c>
      <c r="E223" s="6" t="s">
        <v>93</v>
      </c>
      <c r="F223" s="6"/>
      <c r="G223" s="16">
        <v>8738</v>
      </c>
      <c r="H223" s="16">
        <v>295</v>
      </c>
      <c r="I223" s="16">
        <v>529</v>
      </c>
      <c r="J223" s="19">
        <v>442</v>
      </c>
      <c r="K223" s="21">
        <v>25286</v>
      </c>
      <c r="L223" s="19">
        <v>147522</v>
      </c>
      <c r="M223" s="4" t="s">
        <v>37</v>
      </c>
      <c r="N223" s="6">
        <f t="shared" si="8"/>
        <v>6.4817450956467511</v>
      </c>
    </row>
    <row r="224" spans="1:14" x14ac:dyDescent="0.3">
      <c r="A224" s="4" t="s">
        <v>396</v>
      </c>
      <c r="B224" s="4" t="s">
        <v>53</v>
      </c>
      <c r="C224" s="5" t="s">
        <v>318</v>
      </c>
      <c r="D224" s="4" t="s">
        <v>34</v>
      </c>
      <c r="E224" s="6" t="s">
        <v>29</v>
      </c>
      <c r="F224" s="6" t="s">
        <v>30</v>
      </c>
      <c r="G224" s="16">
        <v>17913</v>
      </c>
      <c r="H224" s="16">
        <v>1311</v>
      </c>
      <c r="I224" s="16">
        <v>859</v>
      </c>
      <c r="J224" s="19">
        <v>405</v>
      </c>
      <c r="K224" s="21">
        <v>59842</v>
      </c>
      <c r="L224" s="19">
        <v>62612</v>
      </c>
      <c r="M224" s="4" t="s">
        <v>31</v>
      </c>
      <c r="N224" s="6">
        <f t="shared" si="8"/>
        <v>32.075321024723699</v>
      </c>
    </row>
    <row r="225" spans="1:14" x14ac:dyDescent="0.3">
      <c r="A225" s="4" t="s">
        <v>397</v>
      </c>
      <c r="B225" s="4" t="s">
        <v>21</v>
      </c>
      <c r="C225" s="5">
        <v>45907</v>
      </c>
      <c r="D225" s="4" t="s">
        <v>28</v>
      </c>
      <c r="E225" s="6" t="s">
        <v>177</v>
      </c>
      <c r="F225" s="6" t="s">
        <v>178</v>
      </c>
      <c r="G225" s="16">
        <v>4472</v>
      </c>
      <c r="H225" s="16">
        <v>1301</v>
      </c>
      <c r="I225" s="16">
        <v>956</v>
      </c>
      <c r="J225" s="19">
        <v>1186</v>
      </c>
      <c r="K225" s="21">
        <v>3363</v>
      </c>
      <c r="L225" s="19">
        <v>46471</v>
      </c>
      <c r="M225" s="4" t="s">
        <v>24</v>
      </c>
      <c r="N225" s="6">
        <f t="shared" si="8"/>
        <v>14.479998278496268</v>
      </c>
    </row>
    <row r="226" spans="1:14" x14ac:dyDescent="0.3">
      <c r="A226" s="4" t="s">
        <v>398</v>
      </c>
      <c r="B226" s="4" t="s">
        <v>53</v>
      </c>
      <c r="C226" s="5" t="s">
        <v>399</v>
      </c>
      <c r="D226" s="4" t="s">
        <v>34</v>
      </c>
      <c r="E226" s="6" t="s">
        <v>48</v>
      </c>
      <c r="F226" s="6" t="s">
        <v>49</v>
      </c>
      <c r="G226" s="16">
        <v>21123</v>
      </c>
      <c r="H226" s="16">
        <v>1343</v>
      </c>
      <c r="I226" s="16">
        <v>589</v>
      </c>
      <c r="J226" s="19">
        <v>727</v>
      </c>
      <c r="K226" s="21">
        <v>87833</v>
      </c>
      <c r="L226" s="19">
        <v>206703</v>
      </c>
      <c r="M226" s="4" t="s">
        <v>19</v>
      </c>
      <c r="N226" s="6">
        <f t="shared" si="8"/>
        <v>11.153684271636116</v>
      </c>
    </row>
    <row r="227" spans="1:14" x14ac:dyDescent="0.3">
      <c r="A227" s="4" t="s">
        <v>400</v>
      </c>
      <c r="B227" s="4" t="s">
        <v>53</v>
      </c>
      <c r="C227" s="5">
        <v>45908</v>
      </c>
      <c r="D227" s="4" t="s">
        <v>28</v>
      </c>
      <c r="E227" s="6" t="s">
        <v>48</v>
      </c>
      <c r="F227" s="6" t="s">
        <v>49</v>
      </c>
      <c r="G227" s="16">
        <v>23785</v>
      </c>
      <c r="H227" s="16">
        <v>1013</v>
      </c>
      <c r="I227" s="16">
        <v>468</v>
      </c>
      <c r="J227" s="19">
        <v>1628</v>
      </c>
      <c r="K227" s="21">
        <v>8272</v>
      </c>
      <c r="L227" s="19">
        <v>71348</v>
      </c>
      <c r="M227" s="4" t="s">
        <v>24</v>
      </c>
      <c r="N227" s="6">
        <f t="shared" si="8"/>
        <v>35.412345125301343</v>
      </c>
    </row>
    <row r="228" spans="1:14" x14ac:dyDescent="0.3">
      <c r="A228" s="4" t="s">
        <v>401</v>
      </c>
      <c r="B228" s="4" t="s">
        <v>26</v>
      </c>
      <c r="C228" s="5" t="s">
        <v>402</v>
      </c>
      <c r="D228" s="4" t="s">
        <v>28</v>
      </c>
      <c r="E228" s="6" t="s">
        <v>22</v>
      </c>
      <c r="F228" s="6" t="s">
        <v>23</v>
      </c>
      <c r="G228" s="16">
        <v>17679</v>
      </c>
      <c r="H228" s="16">
        <v>690</v>
      </c>
      <c r="I228" s="16">
        <v>451</v>
      </c>
      <c r="J228" s="19">
        <v>2195</v>
      </c>
      <c r="K228" s="21">
        <v>4390</v>
      </c>
      <c r="L228" s="19">
        <v>235804</v>
      </c>
      <c r="M228" s="4" t="s">
        <v>63</v>
      </c>
      <c r="N228" s="6">
        <f t="shared" si="8"/>
        <v>7.9812047293514956</v>
      </c>
    </row>
    <row r="229" spans="1:14" x14ac:dyDescent="0.3">
      <c r="A229" s="4" t="s">
        <v>403</v>
      </c>
      <c r="B229" s="4" t="s">
        <v>53</v>
      </c>
      <c r="C229" s="5" t="s">
        <v>404</v>
      </c>
      <c r="D229" s="4" t="s">
        <v>34</v>
      </c>
      <c r="E229" s="6" t="s">
        <v>29</v>
      </c>
      <c r="F229" s="6" t="s">
        <v>30</v>
      </c>
      <c r="G229" s="16">
        <v>3761</v>
      </c>
      <c r="H229" s="16">
        <v>651</v>
      </c>
      <c r="I229" s="16">
        <v>493</v>
      </c>
      <c r="J229" s="19">
        <v>2294</v>
      </c>
      <c r="K229" s="21">
        <v>71696</v>
      </c>
      <c r="L229" s="19">
        <v>41177</v>
      </c>
      <c r="M229" s="4" t="s">
        <v>19</v>
      </c>
      <c r="N229" s="6">
        <f t="shared" si="8"/>
        <v>11.911989702989532</v>
      </c>
    </row>
    <row r="230" spans="1:14" x14ac:dyDescent="0.3">
      <c r="A230" s="4" t="s">
        <v>405</v>
      </c>
      <c r="B230" s="4" t="s">
        <v>26</v>
      </c>
      <c r="C230" s="5" t="s">
        <v>126</v>
      </c>
      <c r="D230" s="4" t="s">
        <v>34</v>
      </c>
      <c r="E230" s="6" t="s">
        <v>22</v>
      </c>
      <c r="F230" s="6" t="s">
        <v>23</v>
      </c>
      <c r="G230" s="16">
        <v>12167</v>
      </c>
      <c r="H230" s="16">
        <v>364</v>
      </c>
      <c r="I230" s="16">
        <v>160</v>
      </c>
      <c r="J230" s="19">
        <v>616</v>
      </c>
      <c r="K230" s="21">
        <v>42228</v>
      </c>
      <c r="L230" s="19">
        <v>175832</v>
      </c>
      <c r="M230" s="4" t="s">
        <v>31</v>
      </c>
      <c r="N230" s="6">
        <f t="shared" si="8"/>
        <v>7.217685063014696</v>
      </c>
    </row>
    <row r="231" spans="1:14" x14ac:dyDescent="0.3">
      <c r="A231" s="4" t="s">
        <v>406</v>
      </c>
      <c r="B231" s="4" t="s">
        <v>26</v>
      </c>
      <c r="C231" s="5" t="s">
        <v>275</v>
      </c>
      <c r="D231" s="4" t="s">
        <v>34</v>
      </c>
      <c r="E231" s="6" t="s">
        <v>40</v>
      </c>
      <c r="F231" s="6"/>
      <c r="G231" s="16">
        <v>12554</v>
      </c>
      <c r="H231" s="16">
        <v>381</v>
      </c>
      <c r="I231" s="16">
        <v>211</v>
      </c>
      <c r="J231" s="19">
        <v>2286</v>
      </c>
      <c r="K231" s="21">
        <v>50567</v>
      </c>
      <c r="L231" s="19">
        <v>72779</v>
      </c>
      <c r="M231" s="4" t="s">
        <v>19</v>
      </c>
      <c r="N231" s="6">
        <f t="shared" si="8"/>
        <v>18.062902760411657</v>
      </c>
    </row>
    <row r="232" spans="1:14" x14ac:dyDescent="0.3">
      <c r="A232" s="4" t="s">
        <v>407</v>
      </c>
      <c r="B232" s="4" t="s">
        <v>53</v>
      </c>
      <c r="C232" s="5">
        <v>45909</v>
      </c>
      <c r="D232" s="4" t="s">
        <v>16</v>
      </c>
      <c r="E232" s="6" t="s">
        <v>44</v>
      </c>
      <c r="F232" s="6" t="s">
        <v>45</v>
      </c>
      <c r="G232" s="16">
        <v>19260</v>
      </c>
      <c r="H232" s="16">
        <v>668</v>
      </c>
      <c r="I232" s="16">
        <v>994</v>
      </c>
      <c r="J232" s="19">
        <v>934</v>
      </c>
      <c r="K232" s="21">
        <v>20509</v>
      </c>
      <c r="L232" s="19">
        <v>61636</v>
      </c>
      <c r="M232" s="4" t="s">
        <v>24</v>
      </c>
      <c r="N232" s="6">
        <f t="shared" si="8"/>
        <v>33.944448049841</v>
      </c>
    </row>
    <row r="233" spans="1:14" x14ac:dyDescent="0.3">
      <c r="A233" s="4" t="s">
        <v>408</v>
      </c>
      <c r="B233" s="4" t="s">
        <v>21</v>
      </c>
      <c r="C233" s="5" t="s">
        <v>409</v>
      </c>
      <c r="D233" s="4" t="s">
        <v>43</v>
      </c>
      <c r="E233" s="6" t="s">
        <v>48</v>
      </c>
      <c r="F233" s="6" t="s">
        <v>49</v>
      </c>
      <c r="G233" s="16">
        <v>16277</v>
      </c>
      <c r="H233" s="16">
        <v>1109</v>
      </c>
      <c r="I233" s="16">
        <v>375</v>
      </c>
      <c r="J233" s="19">
        <v>2225</v>
      </c>
      <c r="K233" s="21">
        <v>1044</v>
      </c>
      <c r="L233" s="19">
        <v>121889</v>
      </c>
      <c r="M233" s="4" t="s">
        <v>37</v>
      </c>
      <c r="N233" s="6">
        <f t="shared" si="8"/>
        <v>14.571454356012437</v>
      </c>
    </row>
    <row r="234" spans="1:14" x14ac:dyDescent="0.3">
      <c r="A234" s="4" t="s">
        <v>410</v>
      </c>
      <c r="B234" s="4" t="s">
        <v>21</v>
      </c>
      <c r="C234" s="5" t="s">
        <v>160</v>
      </c>
      <c r="D234" s="4" t="s">
        <v>16</v>
      </c>
      <c r="E234" s="6" t="s">
        <v>17</v>
      </c>
      <c r="F234" s="6" t="s">
        <v>18</v>
      </c>
      <c r="G234" s="16">
        <v>5812</v>
      </c>
      <c r="H234" s="16">
        <v>934</v>
      </c>
      <c r="I234" s="16">
        <v>302</v>
      </c>
      <c r="J234" s="19">
        <v>2356</v>
      </c>
      <c r="K234" s="21">
        <v>37437</v>
      </c>
      <c r="L234" s="19">
        <v>93551</v>
      </c>
      <c r="M234" s="4" t="s">
        <v>19</v>
      </c>
      <c r="N234" s="6">
        <f t="shared" si="8"/>
        <v>7.5338585370546554</v>
      </c>
    </row>
    <row r="235" spans="1:14" x14ac:dyDescent="0.3">
      <c r="A235" s="4" t="s">
        <v>411</v>
      </c>
      <c r="B235" s="4" t="s">
        <v>21</v>
      </c>
      <c r="C235" s="5" t="s">
        <v>412</v>
      </c>
      <c r="D235" s="4" t="s">
        <v>16</v>
      </c>
      <c r="E235" s="6" t="s">
        <v>44</v>
      </c>
      <c r="F235" s="6" t="s">
        <v>45</v>
      </c>
      <c r="G235" s="16">
        <v>19844</v>
      </c>
      <c r="H235" s="16">
        <v>1022</v>
      </c>
      <c r="I235" s="16">
        <v>860</v>
      </c>
      <c r="J235" s="19">
        <v>2570</v>
      </c>
      <c r="K235" s="21">
        <v>23719</v>
      </c>
      <c r="L235" s="19">
        <v>182628</v>
      </c>
      <c r="M235" s="4" t="s">
        <v>31</v>
      </c>
      <c r="N235" s="6">
        <f t="shared" si="8"/>
        <v>11.896313818253498</v>
      </c>
    </row>
    <row r="236" spans="1:14" x14ac:dyDescent="0.3">
      <c r="A236" s="4" t="s">
        <v>413</v>
      </c>
      <c r="B236" s="4" t="s">
        <v>21</v>
      </c>
      <c r="C236" s="5" t="s">
        <v>346</v>
      </c>
      <c r="D236" s="4" t="s">
        <v>28</v>
      </c>
      <c r="E236" s="6" t="s">
        <v>35</v>
      </c>
      <c r="F236" s="6" t="s">
        <v>36</v>
      </c>
      <c r="G236" s="16">
        <v>20117</v>
      </c>
      <c r="H236" s="16">
        <v>1143</v>
      </c>
      <c r="I236" s="16">
        <v>713</v>
      </c>
      <c r="J236" s="19">
        <v>1739</v>
      </c>
      <c r="K236" s="21">
        <v>34444</v>
      </c>
      <c r="L236" s="19">
        <v>198670</v>
      </c>
      <c r="M236" s="4" t="s">
        <v>63</v>
      </c>
      <c r="N236" s="6">
        <f t="shared" si="8"/>
        <v>11.060049328031409</v>
      </c>
    </row>
    <row r="237" spans="1:14" x14ac:dyDescent="0.3">
      <c r="A237" s="4" t="s">
        <v>414</v>
      </c>
      <c r="B237" s="4" t="s">
        <v>21</v>
      </c>
      <c r="C237" s="5" t="s">
        <v>72</v>
      </c>
      <c r="D237" s="4" t="s">
        <v>34</v>
      </c>
      <c r="E237" s="6" t="s">
        <v>78</v>
      </c>
      <c r="F237" s="6" t="s">
        <v>40</v>
      </c>
      <c r="G237" s="16">
        <v>3605</v>
      </c>
      <c r="H237" s="16">
        <v>206</v>
      </c>
      <c r="I237" s="16">
        <v>921</v>
      </c>
      <c r="J237" s="19">
        <v>852</v>
      </c>
      <c r="K237" s="21">
        <v>11660</v>
      </c>
      <c r="L237" s="19">
        <v>182635</v>
      </c>
      <c r="M237" s="4" t="s">
        <v>37</v>
      </c>
      <c r="N237" s="6">
        <f t="shared" si="8"/>
        <v>2.590960111698196</v>
      </c>
    </row>
    <row r="238" spans="1:14" x14ac:dyDescent="0.3">
      <c r="A238" s="4" t="s">
        <v>415</v>
      </c>
      <c r="B238" s="4" t="s">
        <v>53</v>
      </c>
      <c r="C238" s="5" t="s">
        <v>299</v>
      </c>
      <c r="D238" s="4" t="s">
        <v>43</v>
      </c>
      <c r="E238" s="6" t="s">
        <v>29</v>
      </c>
      <c r="F238" s="6" t="s">
        <v>30</v>
      </c>
      <c r="G238" s="16">
        <v>7622</v>
      </c>
      <c r="H238" s="16">
        <v>529</v>
      </c>
      <c r="I238" s="16">
        <v>720</v>
      </c>
      <c r="J238" s="19">
        <v>1015</v>
      </c>
      <c r="K238" s="21">
        <v>71322</v>
      </c>
      <c r="L238" s="19">
        <v>86819</v>
      </c>
      <c r="M238" s="4" t="s">
        <v>63</v>
      </c>
      <c r="N238" s="6">
        <f t="shared" si="8"/>
        <v>10.217809465669957</v>
      </c>
    </row>
    <row r="239" spans="1:14" x14ac:dyDescent="0.3">
      <c r="A239" s="4" t="s">
        <v>416</v>
      </c>
      <c r="B239" s="4" t="s">
        <v>53</v>
      </c>
      <c r="C239" s="5" t="s">
        <v>417</v>
      </c>
      <c r="D239" s="4" t="s">
        <v>28</v>
      </c>
      <c r="E239" s="6" t="s">
        <v>55</v>
      </c>
      <c r="F239" s="6" t="s">
        <v>56</v>
      </c>
      <c r="G239" s="16">
        <v>8767</v>
      </c>
      <c r="H239" s="16">
        <v>974</v>
      </c>
      <c r="I239" s="16">
        <v>733</v>
      </c>
      <c r="J239" s="19">
        <v>1587</v>
      </c>
      <c r="K239" s="21">
        <v>74927</v>
      </c>
      <c r="L239" s="19">
        <v>113770</v>
      </c>
      <c r="M239" s="4" t="s">
        <v>19</v>
      </c>
      <c r="N239" s="6">
        <f t="shared" si="8"/>
        <v>9.2062933989628206</v>
      </c>
    </row>
    <row r="240" spans="1:14" x14ac:dyDescent="0.3">
      <c r="A240" s="4" t="s">
        <v>418</v>
      </c>
      <c r="B240" s="4" t="s">
        <v>14</v>
      </c>
      <c r="C240" s="5">
        <v>45910</v>
      </c>
      <c r="D240" s="4" t="s">
        <v>16</v>
      </c>
      <c r="E240" s="6" t="s">
        <v>22</v>
      </c>
      <c r="F240" s="6" t="s">
        <v>23</v>
      </c>
      <c r="G240" s="16">
        <v>13613</v>
      </c>
      <c r="H240" s="16">
        <v>350</v>
      </c>
      <c r="I240" s="16">
        <v>809</v>
      </c>
      <c r="J240" s="19">
        <v>2013</v>
      </c>
      <c r="K240" s="21">
        <v>20471</v>
      </c>
      <c r="L240" s="19">
        <v>198038</v>
      </c>
      <c r="M240" s="4" t="s">
        <v>24</v>
      </c>
      <c r="N240" s="6">
        <f t="shared" si="8"/>
        <v>7.4591745018632789</v>
      </c>
    </row>
    <row r="241" spans="1:14" x14ac:dyDescent="0.3">
      <c r="A241" s="4" t="s">
        <v>419</v>
      </c>
      <c r="B241" s="4" t="s">
        <v>21</v>
      </c>
      <c r="C241" s="5">
        <v>45911</v>
      </c>
      <c r="D241" s="4" t="s">
        <v>34</v>
      </c>
      <c r="E241" s="6" t="s">
        <v>44</v>
      </c>
      <c r="F241" s="6" t="s">
        <v>45</v>
      </c>
      <c r="G241" s="16">
        <v>21901</v>
      </c>
      <c r="H241" s="16">
        <v>1308</v>
      </c>
      <c r="I241" s="16">
        <v>724</v>
      </c>
      <c r="J241" s="19">
        <v>2183</v>
      </c>
      <c r="K241" s="21">
        <v>15996</v>
      </c>
      <c r="L241" s="19">
        <v>230961</v>
      </c>
      <c r="M241" s="4" t="s">
        <v>24</v>
      </c>
      <c r="N241" s="6">
        <f>(G241+H241+I241)/L241*100</f>
        <v>10.362355549205276</v>
      </c>
    </row>
    <row r="242" spans="1:14" x14ac:dyDescent="0.3">
      <c r="A242" s="4" t="s">
        <v>420</v>
      </c>
      <c r="B242" s="4" t="s">
        <v>53</v>
      </c>
      <c r="C242" s="5" t="s">
        <v>421</v>
      </c>
      <c r="D242" s="4" t="s">
        <v>28</v>
      </c>
      <c r="E242" s="6" t="s">
        <v>78</v>
      </c>
      <c r="F242" s="6" t="s">
        <v>40</v>
      </c>
      <c r="G242" s="16">
        <v>12589</v>
      </c>
      <c r="H242" s="16">
        <v>346</v>
      </c>
      <c r="I242" s="16">
        <v>459</v>
      </c>
      <c r="J242" s="19">
        <v>1407</v>
      </c>
      <c r="K242" s="21">
        <v>29254</v>
      </c>
      <c r="L242" s="19">
        <v>198059</v>
      </c>
      <c r="M242" s="4" t="s">
        <v>31</v>
      </c>
      <c r="N242" s="6">
        <f>(G242+H242+I242)/L242*100</f>
        <v>6.7626313371268161</v>
      </c>
    </row>
    <row r="243" spans="1:14" x14ac:dyDescent="0.3">
      <c r="A243" s="4" t="s">
        <v>422</v>
      </c>
      <c r="B243" s="4" t="s">
        <v>14</v>
      </c>
      <c r="C243" s="5">
        <v>45912</v>
      </c>
      <c r="D243" s="4" t="s">
        <v>34</v>
      </c>
      <c r="E243" s="6" t="s">
        <v>44</v>
      </c>
      <c r="F243" s="6" t="s">
        <v>45</v>
      </c>
      <c r="G243" s="16">
        <v>15918</v>
      </c>
      <c r="H243" s="16">
        <v>1114</v>
      </c>
      <c r="I243" s="16">
        <v>392</v>
      </c>
      <c r="J243" s="19">
        <v>1641</v>
      </c>
      <c r="K243" s="21">
        <v>28044</v>
      </c>
      <c r="L243" s="19">
        <v>118714</v>
      </c>
      <c r="M243" s="4" t="s">
        <v>24</v>
      </c>
      <c r="N243" s="6">
        <f t="shared" ref="N243:N253" si="9">(G243+H243+I243)/L243*100</f>
        <v>14.677291642097815</v>
      </c>
    </row>
    <row r="244" spans="1:14" x14ac:dyDescent="0.3">
      <c r="A244" s="4" t="s">
        <v>423</v>
      </c>
      <c r="B244" s="4" t="s">
        <v>21</v>
      </c>
      <c r="C244" s="5" t="s">
        <v>424</v>
      </c>
      <c r="D244" s="4" t="s">
        <v>28</v>
      </c>
      <c r="E244" s="6" t="s">
        <v>55</v>
      </c>
      <c r="F244" s="6" t="s">
        <v>56</v>
      </c>
      <c r="G244" s="16">
        <v>22119</v>
      </c>
      <c r="H244" s="16">
        <v>899</v>
      </c>
      <c r="I244" s="16">
        <v>642</v>
      </c>
      <c r="J244" s="19">
        <v>410</v>
      </c>
      <c r="K244" s="21">
        <v>49490</v>
      </c>
      <c r="L244" s="19">
        <v>229420</v>
      </c>
      <c r="M244" s="4" t="s">
        <v>37</v>
      </c>
      <c r="N244" s="6">
        <f t="shared" si="9"/>
        <v>10.312963124400662</v>
      </c>
    </row>
    <row r="245" spans="1:14" x14ac:dyDescent="0.3">
      <c r="A245" s="4" t="s">
        <v>425</v>
      </c>
      <c r="B245" s="4" t="s">
        <v>26</v>
      </c>
      <c r="C245" s="5">
        <v>45913</v>
      </c>
      <c r="D245" s="4" t="s">
        <v>34</v>
      </c>
      <c r="E245" s="6" t="s">
        <v>78</v>
      </c>
      <c r="F245" s="6" t="s">
        <v>40</v>
      </c>
      <c r="G245" s="16">
        <v>15046</v>
      </c>
      <c r="H245" s="16">
        <v>281</v>
      </c>
      <c r="I245" s="16">
        <v>515</v>
      </c>
      <c r="J245" s="19">
        <v>550</v>
      </c>
      <c r="K245" s="21">
        <v>22583</v>
      </c>
      <c r="L245" s="19">
        <v>64596</v>
      </c>
      <c r="M245" s="4" t="s">
        <v>24</v>
      </c>
      <c r="N245" s="6">
        <f t="shared" si="9"/>
        <v>24.524738373893122</v>
      </c>
    </row>
    <row r="246" spans="1:14" x14ac:dyDescent="0.3">
      <c r="A246" s="4" t="s">
        <v>426</v>
      </c>
      <c r="B246" s="4" t="s">
        <v>14</v>
      </c>
      <c r="C246" s="5" t="s">
        <v>427</v>
      </c>
      <c r="D246" s="4" t="s">
        <v>16</v>
      </c>
      <c r="E246" s="6" t="s">
        <v>35</v>
      </c>
      <c r="F246" s="6" t="s">
        <v>36</v>
      </c>
      <c r="G246" s="16">
        <v>4590</v>
      </c>
      <c r="H246" s="16">
        <v>713</v>
      </c>
      <c r="I246" s="16">
        <v>479</v>
      </c>
      <c r="J246" s="19">
        <v>2730</v>
      </c>
      <c r="K246" s="21">
        <v>41050</v>
      </c>
      <c r="L246" s="19">
        <v>204246</v>
      </c>
      <c r="M246" s="4" t="s">
        <v>31</v>
      </c>
      <c r="N246" s="6">
        <f t="shared" si="9"/>
        <v>2.8308999931455205</v>
      </c>
    </row>
    <row r="247" spans="1:14" x14ac:dyDescent="0.3">
      <c r="A247" s="4" t="s">
        <v>428</v>
      </c>
      <c r="B247" s="4" t="s">
        <v>53</v>
      </c>
      <c r="C247" s="5" t="s">
        <v>429</v>
      </c>
      <c r="D247" s="4" t="s">
        <v>43</v>
      </c>
      <c r="E247" s="6" t="s">
        <v>55</v>
      </c>
      <c r="F247" s="6" t="s">
        <v>56</v>
      </c>
      <c r="G247" s="16">
        <v>19447</v>
      </c>
      <c r="H247" s="16">
        <v>1014</v>
      </c>
      <c r="I247" s="16">
        <v>256</v>
      </c>
      <c r="J247" s="19">
        <v>2354</v>
      </c>
      <c r="K247" s="21">
        <v>5472</v>
      </c>
      <c r="L247" s="19">
        <v>104106</v>
      </c>
      <c r="M247" s="4" t="s">
        <v>19</v>
      </c>
      <c r="N247" s="6">
        <f t="shared" si="9"/>
        <v>19.899909707413599</v>
      </c>
    </row>
    <row r="248" spans="1:14" x14ac:dyDescent="0.3">
      <c r="A248" s="4" t="s">
        <v>430</v>
      </c>
      <c r="B248" s="4" t="s">
        <v>26</v>
      </c>
      <c r="C248" s="5" t="s">
        <v>431</v>
      </c>
      <c r="D248" s="4" t="s">
        <v>16</v>
      </c>
      <c r="E248" s="6" t="s">
        <v>93</v>
      </c>
      <c r="F248" s="6"/>
      <c r="G248" s="16">
        <v>6324</v>
      </c>
      <c r="H248" s="16">
        <v>908</v>
      </c>
      <c r="I248" s="16">
        <v>375</v>
      </c>
      <c r="J248" s="19">
        <v>758</v>
      </c>
      <c r="K248" s="21">
        <v>34850</v>
      </c>
      <c r="L248" s="19">
        <v>241039</v>
      </c>
      <c r="M248" s="4" t="s">
        <v>19</v>
      </c>
      <c r="N248" s="6">
        <f t="shared" si="9"/>
        <v>3.1559208260903837</v>
      </c>
    </row>
    <row r="249" spans="1:14" x14ac:dyDescent="0.3">
      <c r="A249" s="4" t="s">
        <v>432</v>
      </c>
      <c r="B249" s="4" t="s">
        <v>26</v>
      </c>
      <c r="C249" s="5">
        <v>45914</v>
      </c>
      <c r="D249" s="4" t="s">
        <v>43</v>
      </c>
      <c r="E249" s="6" t="s">
        <v>35</v>
      </c>
      <c r="F249" s="6" t="s">
        <v>70</v>
      </c>
      <c r="G249" s="16">
        <v>12787</v>
      </c>
      <c r="H249" s="16">
        <v>945</v>
      </c>
      <c r="I249" s="16">
        <v>974</v>
      </c>
      <c r="J249" s="19">
        <v>1407</v>
      </c>
      <c r="K249" s="21">
        <v>4037</v>
      </c>
      <c r="L249" s="19">
        <v>99182</v>
      </c>
      <c r="M249" s="4" t="s">
        <v>24</v>
      </c>
      <c r="N249" s="6">
        <f t="shared" si="9"/>
        <v>14.827287209372669</v>
      </c>
    </row>
    <row r="250" spans="1:14" x14ac:dyDescent="0.3">
      <c r="A250" s="4" t="s">
        <v>433</v>
      </c>
      <c r="B250" s="4" t="s">
        <v>26</v>
      </c>
      <c r="C250" s="5" t="s">
        <v>434</v>
      </c>
      <c r="D250" s="4" t="s">
        <v>34</v>
      </c>
      <c r="E250" s="6" t="s">
        <v>93</v>
      </c>
      <c r="F250" s="6"/>
      <c r="G250" s="16">
        <v>11111</v>
      </c>
      <c r="H250" s="16">
        <v>1222</v>
      </c>
      <c r="I250" s="16">
        <v>367</v>
      </c>
      <c r="J250" s="19">
        <v>507</v>
      </c>
      <c r="K250" s="21">
        <v>14129</v>
      </c>
      <c r="L250" s="19">
        <v>127163</v>
      </c>
      <c r="M250" s="4" t="s">
        <v>63</v>
      </c>
      <c r="N250" s="6">
        <f t="shared" si="9"/>
        <v>9.9871818060284827</v>
      </c>
    </row>
    <row r="251" spans="1:14" x14ac:dyDescent="0.3">
      <c r="A251" s="4" t="s">
        <v>435</v>
      </c>
      <c r="B251" s="4" t="s">
        <v>14</v>
      </c>
      <c r="C251" s="5" t="s">
        <v>142</v>
      </c>
      <c r="D251" s="4" t="s">
        <v>28</v>
      </c>
      <c r="E251" s="6" t="s">
        <v>48</v>
      </c>
      <c r="F251" s="6" t="s">
        <v>49</v>
      </c>
      <c r="G251" s="16">
        <v>7342</v>
      </c>
      <c r="H251" s="16">
        <v>906</v>
      </c>
      <c r="I251" s="16">
        <v>902</v>
      </c>
      <c r="J251" s="19">
        <v>1199</v>
      </c>
      <c r="K251" s="21">
        <v>68488</v>
      </c>
      <c r="L251" s="19">
        <v>79310</v>
      </c>
      <c r="M251" s="4" t="s">
        <v>19</v>
      </c>
      <c r="N251" s="6">
        <f t="shared" si="9"/>
        <v>11.537006682637751</v>
      </c>
    </row>
    <row r="252" spans="1:14" x14ac:dyDescent="0.3">
      <c r="A252" s="4" t="s">
        <v>436</v>
      </c>
      <c r="B252" s="4" t="s">
        <v>53</v>
      </c>
      <c r="C252" s="5">
        <v>45915</v>
      </c>
      <c r="D252" s="4" t="s">
        <v>16</v>
      </c>
      <c r="E252" s="6" t="s">
        <v>44</v>
      </c>
      <c r="F252" s="6" t="s">
        <v>45</v>
      </c>
      <c r="G252" s="16">
        <v>18389</v>
      </c>
      <c r="H252" s="16">
        <v>670</v>
      </c>
      <c r="I252" s="16">
        <v>655</v>
      </c>
      <c r="J252" s="19">
        <v>321</v>
      </c>
      <c r="K252" s="21">
        <v>21869</v>
      </c>
      <c r="L252" s="19">
        <v>96088</v>
      </c>
      <c r="M252" s="4" t="s">
        <v>24</v>
      </c>
      <c r="N252" s="6">
        <f t="shared" si="9"/>
        <v>20.516609774373489</v>
      </c>
    </row>
    <row r="253" spans="1:14" x14ac:dyDescent="0.3">
      <c r="A253" s="4" t="s">
        <v>437</v>
      </c>
      <c r="B253" s="4" t="s">
        <v>26</v>
      </c>
      <c r="C253" s="5" t="s">
        <v>322</v>
      </c>
      <c r="D253" s="4" t="s">
        <v>43</v>
      </c>
      <c r="E253" s="6" t="s">
        <v>35</v>
      </c>
      <c r="F253" s="6" t="s">
        <v>70</v>
      </c>
      <c r="G253" s="16">
        <v>10659</v>
      </c>
      <c r="H253" s="16">
        <v>1342</v>
      </c>
      <c r="I253" s="16">
        <v>408</v>
      </c>
      <c r="J253" s="19">
        <v>709</v>
      </c>
      <c r="K253" s="21">
        <v>16309</v>
      </c>
      <c r="L253" s="19">
        <v>168803</v>
      </c>
      <c r="M253" s="4" t="s">
        <v>31</v>
      </c>
      <c r="N253" s="6">
        <f t="shared" si="9"/>
        <v>7.3511726687321906</v>
      </c>
    </row>
    <row r="254" spans="1:14" x14ac:dyDescent="0.3">
      <c r="A254" s="4" t="s">
        <v>438</v>
      </c>
      <c r="B254" s="4" t="s">
        <v>21</v>
      </c>
      <c r="C254" s="5">
        <v>45916</v>
      </c>
      <c r="D254" s="4" t="s">
        <v>16</v>
      </c>
      <c r="E254" s="6" t="s">
        <v>93</v>
      </c>
      <c r="F254" s="6"/>
      <c r="G254" s="16">
        <v>16043</v>
      </c>
      <c r="H254" s="16">
        <v>595</v>
      </c>
      <c r="I254" s="16">
        <v>923</v>
      </c>
      <c r="J254" s="19">
        <v>1194</v>
      </c>
      <c r="K254" s="21">
        <v>52613</v>
      </c>
      <c r="L254" s="19">
        <v>179978</v>
      </c>
      <c r="M254" s="4" t="s">
        <v>24</v>
      </c>
      <c r="N254" s="6">
        <f>(G254+H254+I254)/L254*100</f>
        <v>9.7573036704486107</v>
      </c>
    </row>
    <row r="255" spans="1:14" x14ac:dyDescent="0.3">
      <c r="A255" s="4" t="s">
        <v>439</v>
      </c>
      <c r="B255" s="4" t="s">
        <v>26</v>
      </c>
      <c r="C255" s="5" t="s">
        <v>440</v>
      </c>
      <c r="D255" s="4" t="s">
        <v>43</v>
      </c>
      <c r="E255" s="6" t="s">
        <v>35</v>
      </c>
      <c r="F255" s="6" t="s">
        <v>70</v>
      </c>
      <c r="G255" s="16">
        <v>24350</v>
      </c>
      <c r="H255" s="16">
        <v>460</v>
      </c>
      <c r="I255" s="16">
        <v>666</v>
      </c>
      <c r="J255" s="19">
        <v>814</v>
      </c>
      <c r="K255" s="21">
        <v>21120</v>
      </c>
      <c r="L255" s="19">
        <v>76914</v>
      </c>
      <c r="M255" s="4" t="s">
        <v>19</v>
      </c>
      <c r="N255" s="6">
        <f t="shared" ref="N255:N278" si="10">(G255+H255+I255)/L255*100</f>
        <v>33.12270847960059</v>
      </c>
    </row>
    <row r="256" spans="1:14" x14ac:dyDescent="0.3">
      <c r="A256" s="4" t="s">
        <v>441</v>
      </c>
      <c r="B256" s="4" t="s">
        <v>26</v>
      </c>
      <c r="C256" s="5" t="s">
        <v>442</v>
      </c>
      <c r="D256" s="4" t="s">
        <v>16</v>
      </c>
      <c r="E256" s="6" t="s">
        <v>177</v>
      </c>
      <c r="F256" s="6" t="s">
        <v>178</v>
      </c>
      <c r="G256" s="16">
        <v>10837</v>
      </c>
      <c r="H256" s="16">
        <v>1004</v>
      </c>
      <c r="I256" s="16">
        <v>922</v>
      </c>
      <c r="J256" s="19">
        <v>1108</v>
      </c>
      <c r="K256" s="21">
        <v>36807</v>
      </c>
      <c r="L256" s="19">
        <v>150350</v>
      </c>
      <c r="M256" s="4" t="s">
        <v>31</v>
      </c>
      <c r="N256" s="6">
        <f t="shared" si="10"/>
        <v>8.4888593282341205</v>
      </c>
    </row>
    <row r="257" spans="1:14" x14ac:dyDescent="0.3">
      <c r="A257" s="4" t="s">
        <v>443</v>
      </c>
      <c r="B257" s="4" t="s">
        <v>14</v>
      </c>
      <c r="C257" s="5">
        <v>45917</v>
      </c>
      <c r="D257" s="4" t="s">
        <v>43</v>
      </c>
      <c r="E257" s="6" t="s">
        <v>44</v>
      </c>
      <c r="F257" s="6" t="s">
        <v>45</v>
      </c>
      <c r="G257" s="16">
        <v>2117</v>
      </c>
      <c r="H257" s="16">
        <v>1133</v>
      </c>
      <c r="I257" s="16">
        <v>203</v>
      </c>
      <c r="J257" s="19">
        <v>1173</v>
      </c>
      <c r="K257" s="21">
        <v>40125</v>
      </c>
      <c r="L257" s="19">
        <v>85379</v>
      </c>
      <c r="M257" s="4" t="s">
        <v>24</v>
      </c>
      <c r="N257" s="6">
        <f t="shared" si="10"/>
        <v>4.0443200318579509</v>
      </c>
    </row>
    <row r="258" spans="1:14" x14ac:dyDescent="0.3">
      <c r="A258" s="4" t="s">
        <v>444</v>
      </c>
      <c r="B258" s="4" t="s">
        <v>14</v>
      </c>
      <c r="C258" s="5" t="s">
        <v>252</v>
      </c>
      <c r="D258" s="4" t="s">
        <v>43</v>
      </c>
      <c r="E258" s="6" t="s">
        <v>35</v>
      </c>
      <c r="F258" s="6" t="s">
        <v>70</v>
      </c>
      <c r="G258" s="16">
        <v>15917</v>
      </c>
      <c r="H258" s="16">
        <v>1479</v>
      </c>
      <c r="I258" s="16">
        <v>196</v>
      </c>
      <c r="J258" s="19">
        <v>313</v>
      </c>
      <c r="K258" s="21">
        <v>48524</v>
      </c>
      <c r="L258" s="19">
        <v>249684</v>
      </c>
      <c r="M258" s="4" t="s">
        <v>37</v>
      </c>
      <c r="N258" s="6">
        <f t="shared" si="10"/>
        <v>7.0457057720959293</v>
      </c>
    </row>
    <row r="259" spans="1:14" x14ac:dyDescent="0.3">
      <c r="A259" s="4" t="s">
        <v>445</v>
      </c>
      <c r="B259" s="4" t="s">
        <v>53</v>
      </c>
      <c r="C259" s="5" t="s">
        <v>446</v>
      </c>
      <c r="D259" s="4" t="s">
        <v>34</v>
      </c>
      <c r="E259" s="6" t="s">
        <v>17</v>
      </c>
      <c r="F259" s="6" t="s">
        <v>18</v>
      </c>
      <c r="G259" s="16">
        <v>20935</v>
      </c>
      <c r="H259" s="16">
        <v>1104</v>
      </c>
      <c r="I259" s="16">
        <v>876</v>
      </c>
      <c r="J259" s="19">
        <v>1270</v>
      </c>
      <c r="K259" s="21">
        <v>21454</v>
      </c>
      <c r="L259" s="19">
        <v>208722</v>
      </c>
      <c r="M259" s="4" t="s">
        <v>31</v>
      </c>
      <c r="N259" s="6">
        <f t="shared" si="10"/>
        <v>10.978718103506099</v>
      </c>
    </row>
    <row r="260" spans="1:14" x14ac:dyDescent="0.3">
      <c r="A260" s="4" t="s">
        <v>447</v>
      </c>
      <c r="B260" s="4" t="s">
        <v>21</v>
      </c>
      <c r="C260" s="5" t="s">
        <v>448</v>
      </c>
      <c r="D260" s="4" t="s">
        <v>43</v>
      </c>
      <c r="E260" s="6" t="s">
        <v>22</v>
      </c>
      <c r="F260" s="6" t="s">
        <v>23</v>
      </c>
      <c r="G260" s="16">
        <v>16309</v>
      </c>
      <c r="H260" s="16">
        <v>1449</v>
      </c>
      <c r="I260" s="16">
        <v>838</v>
      </c>
      <c r="J260" s="19">
        <v>2434</v>
      </c>
      <c r="K260" s="21">
        <v>2940</v>
      </c>
      <c r="L260" s="19">
        <v>217953</v>
      </c>
      <c r="M260" s="4" t="s">
        <v>37</v>
      </c>
      <c r="N260" s="6">
        <f t="shared" si="10"/>
        <v>8.532114721981344</v>
      </c>
    </row>
    <row r="261" spans="1:14" x14ac:dyDescent="0.3">
      <c r="A261" s="4" t="s">
        <v>449</v>
      </c>
      <c r="B261" s="4" t="s">
        <v>14</v>
      </c>
      <c r="C261" s="5" t="s">
        <v>450</v>
      </c>
      <c r="D261" s="4" t="s">
        <v>34</v>
      </c>
      <c r="E261" s="6" t="s">
        <v>22</v>
      </c>
      <c r="F261" s="6" t="s">
        <v>23</v>
      </c>
      <c r="G261" s="16">
        <v>15234</v>
      </c>
      <c r="H261" s="16">
        <v>1276</v>
      </c>
      <c r="I261" s="16">
        <v>670</v>
      </c>
      <c r="J261" s="19">
        <v>1860</v>
      </c>
      <c r="K261" s="21">
        <v>60397</v>
      </c>
      <c r="L261" s="19">
        <v>86413</v>
      </c>
      <c r="M261" s="4" t="s">
        <v>63</v>
      </c>
      <c r="N261" s="6">
        <f t="shared" si="10"/>
        <v>19.881267864788864</v>
      </c>
    </row>
    <row r="262" spans="1:14" x14ac:dyDescent="0.3">
      <c r="A262" s="4" t="s">
        <v>451</v>
      </c>
      <c r="B262" s="4" t="s">
        <v>26</v>
      </c>
      <c r="C262" s="5" t="s">
        <v>452</v>
      </c>
      <c r="D262" s="4" t="s">
        <v>43</v>
      </c>
      <c r="E262" s="6" t="s">
        <v>17</v>
      </c>
      <c r="F262" s="6" t="s">
        <v>18</v>
      </c>
      <c r="G262" s="16">
        <v>7560</v>
      </c>
      <c r="H262" s="16">
        <v>1139</v>
      </c>
      <c r="I262" s="16">
        <v>248</v>
      </c>
      <c r="J262" s="19">
        <v>1624</v>
      </c>
      <c r="K262" s="21">
        <v>72237</v>
      </c>
      <c r="L262" s="19">
        <v>177084</v>
      </c>
      <c r="M262" s="4" t="s">
        <v>31</v>
      </c>
      <c r="N262" s="6">
        <f t="shared" si="10"/>
        <v>5.0524045085947913</v>
      </c>
    </row>
    <row r="263" spans="1:14" x14ac:dyDescent="0.3">
      <c r="A263" s="4" t="s">
        <v>453</v>
      </c>
      <c r="B263" s="4" t="s">
        <v>53</v>
      </c>
      <c r="C263" s="5" t="s">
        <v>421</v>
      </c>
      <c r="D263" s="4" t="s">
        <v>28</v>
      </c>
      <c r="E263" s="6" t="s">
        <v>78</v>
      </c>
      <c r="F263" s="6" t="s">
        <v>40</v>
      </c>
      <c r="G263" s="16">
        <v>22673</v>
      </c>
      <c r="H263" s="16">
        <v>1053</v>
      </c>
      <c r="I263" s="16">
        <v>169</v>
      </c>
      <c r="J263" s="19">
        <v>1566</v>
      </c>
      <c r="K263" s="21">
        <v>9417</v>
      </c>
      <c r="L263" s="19">
        <v>221187</v>
      </c>
      <c r="M263" s="4" t="s">
        <v>37</v>
      </c>
      <c r="N263" s="6">
        <f t="shared" si="10"/>
        <v>10.803076130152315</v>
      </c>
    </row>
    <row r="264" spans="1:14" x14ac:dyDescent="0.3">
      <c r="A264" s="4" t="s">
        <v>454</v>
      </c>
      <c r="B264" s="4" t="s">
        <v>26</v>
      </c>
      <c r="C264" s="5" t="s">
        <v>455</v>
      </c>
      <c r="D264" s="4" t="s">
        <v>28</v>
      </c>
      <c r="E264" s="6" t="s">
        <v>40</v>
      </c>
      <c r="F264" s="6"/>
      <c r="G264" s="16">
        <v>2846</v>
      </c>
      <c r="H264" s="16">
        <v>792</v>
      </c>
      <c r="I264" s="16">
        <v>902</v>
      </c>
      <c r="J264" s="19">
        <v>2469</v>
      </c>
      <c r="K264" s="21">
        <v>12130</v>
      </c>
      <c r="L264" s="19">
        <v>47151</v>
      </c>
      <c r="M264" s="4" t="s">
        <v>19</v>
      </c>
      <c r="N264" s="6">
        <f t="shared" si="10"/>
        <v>9.628639901592754</v>
      </c>
    </row>
    <row r="265" spans="1:14" x14ac:dyDescent="0.3">
      <c r="A265" s="4" t="s">
        <v>456</v>
      </c>
      <c r="B265" s="4" t="s">
        <v>26</v>
      </c>
      <c r="C265" s="5" t="s">
        <v>457</v>
      </c>
      <c r="D265" s="4" t="s">
        <v>28</v>
      </c>
      <c r="E265" s="6" t="s">
        <v>78</v>
      </c>
      <c r="F265" s="6" t="s">
        <v>40</v>
      </c>
      <c r="G265" s="16">
        <v>12954</v>
      </c>
      <c r="H265" s="16">
        <v>913</v>
      </c>
      <c r="I265" s="16">
        <v>722</v>
      </c>
      <c r="J265" s="19">
        <v>1049</v>
      </c>
      <c r="K265" s="21">
        <v>475</v>
      </c>
      <c r="L265" s="19">
        <v>97716</v>
      </c>
      <c r="M265" s="4" t="s">
        <v>19</v>
      </c>
      <c r="N265" s="6">
        <f t="shared" si="10"/>
        <v>14.930001228048631</v>
      </c>
    </row>
    <row r="266" spans="1:14" x14ac:dyDescent="0.3">
      <c r="A266" s="4" t="s">
        <v>458</v>
      </c>
      <c r="B266" s="4" t="s">
        <v>14</v>
      </c>
      <c r="C266" s="5" t="s">
        <v>459</v>
      </c>
      <c r="D266" s="4" t="s">
        <v>43</v>
      </c>
      <c r="E266" s="6" t="s">
        <v>55</v>
      </c>
      <c r="F266" s="6" t="s">
        <v>56</v>
      </c>
      <c r="G266" s="16">
        <v>15703</v>
      </c>
      <c r="H266" s="16">
        <v>1381</v>
      </c>
      <c r="I266" s="16">
        <v>639</v>
      </c>
      <c r="J266" s="19">
        <v>984</v>
      </c>
      <c r="K266" s="21">
        <v>10967</v>
      </c>
      <c r="L266" s="19">
        <v>133747</v>
      </c>
      <c r="M266" s="4" t="s">
        <v>63</v>
      </c>
      <c r="N266" s="6">
        <f t="shared" si="10"/>
        <v>13.251138343289941</v>
      </c>
    </row>
    <row r="267" spans="1:14" x14ac:dyDescent="0.3">
      <c r="A267" s="4" t="s">
        <v>460</v>
      </c>
      <c r="B267" s="4" t="s">
        <v>53</v>
      </c>
      <c r="C267" s="5" t="s">
        <v>461</v>
      </c>
      <c r="D267" s="4" t="s">
        <v>34</v>
      </c>
      <c r="E267" s="6" t="s">
        <v>55</v>
      </c>
      <c r="F267" s="6" t="s">
        <v>56</v>
      </c>
      <c r="G267" s="16">
        <v>17385</v>
      </c>
      <c r="H267" s="16">
        <v>831</v>
      </c>
      <c r="I267" s="16">
        <v>568</v>
      </c>
      <c r="J267" s="19">
        <v>2227</v>
      </c>
      <c r="K267" s="21">
        <v>49351</v>
      </c>
      <c r="L267" s="19">
        <v>207450</v>
      </c>
      <c r="M267" s="4" t="s">
        <v>31</v>
      </c>
      <c r="N267" s="6">
        <f t="shared" si="10"/>
        <v>9.0547119787900705</v>
      </c>
    </row>
    <row r="268" spans="1:14" x14ac:dyDescent="0.3">
      <c r="A268" s="4" t="s">
        <v>462</v>
      </c>
      <c r="B268" s="4" t="s">
        <v>21</v>
      </c>
      <c r="C268" s="5" t="s">
        <v>351</v>
      </c>
      <c r="D268" s="4" t="s">
        <v>34</v>
      </c>
      <c r="E268" s="6" t="s">
        <v>35</v>
      </c>
      <c r="F268" s="6" t="s">
        <v>70</v>
      </c>
      <c r="G268" s="16">
        <v>15746</v>
      </c>
      <c r="H268" s="16">
        <v>258</v>
      </c>
      <c r="I268" s="16">
        <v>839</v>
      </c>
      <c r="J268" s="19">
        <v>2656</v>
      </c>
      <c r="K268" s="21">
        <v>66614</v>
      </c>
      <c r="L268" s="19">
        <v>213724</v>
      </c>
      <c r="M268" s="4" t="s">
        <v>31</v>
      </c>
      <c r="N268" s="6">
        <f t="shared" si="10"/>
        <v>7.8807246729426739</v>
      </c>
    </row>
    <row r="269" spans="1:14" x14ac:dyDescent="0.3">
      <c r="A269" s="4" t="s">
        <v>463</v>
      </c>
      <c r="B269" s="4" t="s">
        <v>21</v>
      </c>
      <c r="C269" s="5" t="s">
        <v>464</v>
      </c>
      <c r="D269" s="4" t="s">
        <v>43</v>
      </c>
      <c r="E269" s="6" t="s">
        <v>93</v>
      </c>
      <c r="F269" s="6"/>
      <c r="G269" s="16">
        <v>24700</v>
      </c>
      <c r="H269" s="16">
        <v>327</v>
      </c>
      <c r="I269" s="16">
        <v>999</v>
      </c>
      <c r="J269" s="19">
        <v>994</v>
      </c>
      <c r="K269" s="21">
        <v>59400</v>
      </c>
      <c r="L269" s="19">
        <v>243502</v>
      </c>
      <c r="M269" s="4" t="s">
        <v>31</v>
      </c>
      <c r="N269" s="6">
        <f t="shared" si="10"/>
        <v>10.688207899729777</v>
      </c>
    </row>
    <row r="270" spans="1:14" x14ac:dyDescent="0.3">
      <c r="A270" s="4" t="s">
        <v>465</v>
      </c>
      <c r="B270" s="4" t="s">
        <v>14</v>
      </c>
      <c r="C270" s="5" t="s">
        <v>466</v>
      </c>
      <c r="D270" s="4" t="s">
        <v>28</v>
      </c>
      <c r="E270" s="6" t="s">
        <v>93</v>
      </c>
      <c r="F270" s="6"/>
      <c r="G270" s="16">
        <v>8469</v>
      </c>
      <c r="H270" s="16">
        <v>935</v>
      </c>
      <c r="I270" s="16">
        <v>211</v>
      </c>
      <c r="J270" s="19">
        <v>2635</v>
      </c>
      <c r="K270" s="21">
        <v>21890</v>
      </c>
      <c r="L270" s="19">
        <v>184539</v>
      </c>
      <c r="M270" s="4" t="s">
        <v>63</v>
      </c>
      <c r="N270" s="6">
        <f t="shared" si="10"/>
        <v>5.2102807536618281</v>
      </c>
    </row>
    <row r="271" spans="1:14" x14ac:dyDescent="0.3">
      <c r="A271" s="4" t="s">
        <v>467</v>
      </c>
      <c r="B271" s="4" t="s">
        <v>14</v>
      </c>
      <c r="C271" s="5" t="s">
        <v>366</v>
      </c>
      <c r="D271" s="4" t="s">
        <v>28</v>
      </c>
      <c r="E271" s="6" t="s">
        <v>22</v>
      </c>
      <c r="F271" s="6" t="s">
        <v>23</v>
      </c>
      <c r="G271" s="16">
        <v>11333</v>
      </c>
      <c r="H271" s="16">
        <v>920</v>
      </c>
      <c r="I271" s="16">
        <v>294</v>
      </c>
      <c r="J271" s="19">
        <v>606</v>
      </c>
      <c r="K271" s="21">
        <v>59490</v>
      </c>
      <c r="L271" s="19">
        <v>202082</v>
      </c>
      <c r="M271" s="4" t="s">
        <v>31</v>
      </c>
      <c r="N271" s="6">
        <f t="shared" si="10"/>
        <v>6.2088657079799292</v>
      </c>
    </row>
    <row r="272" spans="1:14" x14ac:dyDescent="0.3">
      <c r="A272" s="4" t="s">
        <v>468</v>
      </c>
      <c r="B272" s="4" t="s">
        <v>53</v>
      </c>
      <c r="C272" s="5" t="s">
        <v>469</v>
      </c>
      <c r="D272" s="4" t="s">
        <v>34</v>
      </c>
      <c r="E272" s="6" t="s">
        <v>29</v>
      </c>
      <c r="F272" s="6" t="s">
        <v>30</v>
      </c>
      <c r="G272" s="16">
        <v>18608</v>
      </c>
      <c r="H272" s="16">
        <v>1338</v>
      </c>
      <c r="I272" s="16">
        <v>365</v>
      </c>
      <c r="J272" s="19">
        <v>2289</v>
      </c>
      <c r="K272" s="21">
        <v>20785</v>
      </c>
      <c r="L272" s="19">
        <v>161999</v>
      </c>
      <c r="M272" s="4" t="s">
        <v>19</v>
      </c>
      <c r="N272" s="6">
        <f t="shared" si="10"/>
        <v>12.537731714393299</v>
      </c>
    </row>
    <row r="273" spans="1:14" x14ac:dyDescent="0.3">
      <c r="A273" s="4" t="s">
        <v>470</v>
      </c>
      <c r="B273" s="4" t="s">
        <v>21</v>
      </c>
      <c r="C273" s="5" t="s">
        <v>471</v>
      </c>
      <c r="D273" s="4" t="s">
        <v>28</v>
      </c>
      <c r="E273" s="6" t="s">
        <v>78</v>
      </c>
      <c r="F273" s="6" t="s">
        <v>40</v>
      </c>
      <c r="G273" s="16">
        <v>14819</v>
      </c>
      <c r="H273" s="16">
        <v>1432</v>
      </c>
      <c r="I273" s="16">
        <v>152</v>
      </c>
      <c r="J273" s="19">
        <v>961</v>
      </c>
      <c r="K273" s="21">
        <v>39154</v>
      </c>
      <c r="L273" s="19">
        <v>154793</v>
      </c>
      <c r="M273" s="4" t="s">
        <v>37</v>
      </c>
      <c r="N273" s="6">
        <f t="shared" si="10"/>
        <v>10.596732410380314</v>
      </c>
    </row>
    <row r="274" spans="1:14" x14ac:dyDescent="0.3">
      <c r="A274" s="4" t="s">
        <v>472</v>
      </c>
      <c r="B274" s="4" t="s">
        <v>21</v>
      </c>
      <c r="C274" s="5" t="s">
        <v>473</v>
      </c>
      <c r="D274" s="4" t="s">
        <v>16</v>
      </c>
      <c r="E274" s="6" t="s">
        <v>177</v>
      </c>
      <c r="F274" s="6" t="s">
        <v>178</v>
      </c>
      <c r="G274" s="16">
        <v>6208</v>
      </c>
      <c r="H274" s="16">
        <v>725</v>
      </c>
      <c r="I274" s="16">
        <v>309</v>
      </c>
      <c r="J274" s="19">
        <v>848</v>
      </c>
      <c r="K274" s="21">
        <v>39319</v>
      </c>
      <c r="L274" s="19">
        <v>225763</v>
      </c>
      <c r="M274" s="4" t="s">
        <v>19</v>
      </c>
      <c r="N274" s="6">
        <f t="shared" si="10"/>
        <v>3.207788698768177</v>
      </c>
    </row>
    <row r="275" spans="1:14" x14ac:dyDescent="0.3">
      <c r="A275" s="4" t="s">
        <v>474</v>
      </c>
      <c r="B275" s="4" t="s">
        <v>21</v>
      </c>
      <c r="C275" s="5" t="s">
        <v>293</v>
      </c>
      <c r="D275" s="4" t="s">
        <v>34</v>
      </c>
      <c r="E275" s="6" t="s">
        <v>44</v>
      </c>
      <c r="F275" s="6" t="s">
        <v>45</v>
      </c>
      <c r="G275" s="16">
        <v>8283</v>
      </c>
      <c r="H275" s="16">
        <v>720</v>
      </c>
      <c r="I275" s="16">
        <v>888</v>
      </c>
      <c r="J275" s="19">
        <v>611</v>
      </c>
      <c r="K275" s="21">
        <v>52791</v>
      </c>
      <c r="L275" s="19">
        <v>235229</v>
      </c>
      <c r="M275" s="4" t="s">
        <v>19</v>
      </c>
      <c r="N275" s="6">
        <f t="shared" si="10"/>
        <v>4.2048386891072109</v>
      </c>
    </row>
    <row r="276" spans="1:14" x14ac:dyDescent="0.3">
      <c r="A276" s="4" t="s">
        <v>475</v>
      </c>
      <c r="B276" s="4" t="s">
        <v>26</v>
      </c>
      <c r="C276" s="5" t="s">
        <v>446</v>
      </c>
      <c r="D276" s="4" t="s">
        <v>28</v>
      </c>
      <c r="E276" s="6" t="s">
        <v>48</v>
      </c>
      <c r="F276" s="6" t="s">
        <v>49</v>
      </c>
      <c r="G276" s="16">
        <v>4048</v>
      </c>
      <c r="H276" s="16">
        <v>751</v>
      </c>
      <c r="I276" s="16">
        <v>930</v>
      </c>
      <c r="J276" s="19">
        <v>1382</v>
      </c>
      <c r="K276" s="21">
        <v>16844</v>
      </c>
      <c r="L276" s="19">
        <v>148177</v>
      </c>
      <c r="M276" s="4" t="s">
        <v>37</v>
      </c>
      <c r="N276" s="6">
        <f t="shared" si="10"/>
        <v>3.8663220337839208</v>
      </c>
    </row>
    <row r="277" spans="1:14" x14ac:dyDescent="0.3">
      <c r="A277" s="4" t="s">
        <v>476</v>
      </c>
      <c r="B277" s="4" t="s">
        <v>21</v>
      </c>
      <c r="C277" s="5" t="s">
        <v>477</v>
      </c>
      <c r="D277" s="4" t="s">
        <v>34</v>
      </c>
      <c r="E277" s="6" t="s">
        <v>35</v>
      </c>
      <c r="F277" s="6" t="s">
        <v>36</v>
      </c>
      <c r="G277" s="16">
        <v>8233</v>
      </c>
      <c r="H277" s="16">
        <v>436</v>
      </c>
      <c r="I277" s="16">
        <v>269</v>
      </c>
      <c r="J277" s="19">
        <v>2037</v>
      </c>
      <c r="K277" s="21">
        <v>8875</v>
      </c>
      <c r="L277" s="19">
        <v>52289</v>
      </c>
      <c r="M277" s="4" t="s">
        <v>19</v>
      </c>
      <c r="N277" s="6">
        <f t="shared" si="10"/>
        <v>17.093461339861157</v>
      </c>
    </row>
    <row r="278" spans="1:14" x14ac:dyDescent="0.3">
      <c r="A278" s="4" t="s">
        <v>478</v>
      </c>
      <c r="B278" s="4" t="s">
        <v>26</v>
      </c>
      <c r="C278" s="5" t="s">
        <v>252</v>
      </c>
      <c r="D278" s="4" t="s">
        <v>16</v>
      </c>
      <c r="E278" s="6" t="s">
        <v>93</v>
      </c>
      <c r="F278" s="6"/>
      <c r="G278" s="16">
        <v>14941</v>
      </c>
      <c r="H278" s="16">
        <v>1424</v>
      </c>
      <c r="I278" s="16">
        <v>238</v>
      </c>
      <c r="J278" s="19">
        <v>1054</v>
      </c>
      <c r="K278" s="21">
        <v>20516</v>
      </c>
      <c r="L278" s="19">
        <v>216048</v>
      </c>
      <c r="M278" s="4" t="s">
        <v>63</v>
      </c>
      <c r="N278" s="6">
        <f t="shared" si="10"/>
        <v>7.6848663260016297</v>
      </c>
    </row>
    <row r="279" spans="1:14" x14ac:dyDescent="0.3">
      <c r="A279" s="4" t="s">
        <v>479</v>
      </c>
      <c r="B279" s="4" t="s">
        <v>53</v>
      </c>
      <c r="C279" s="5" t="s">
        <v>480</v>
      </c>
      <c r="D279" s="4" t="s">
        <v>34</v>
      </c>
      <c r="E279" s="6" t="s">
        <v>44</v>
      </c>
      <c r="F279" s="6" t="s">
        <v>45</v>
      </c>
      <c r="G279" s="16">
        <v>14607</v>
      </c>
      <c r="H279" s="16">
        <v>1458</v>
      </c>
      <c r="I279" s="16">
        <v>478</v>
      </c>
      <c r="J279" s="19">
        <v>334</v>
      </c>
      <c r="K279" s="21">
        <v>49257</v>
      </c>
      <c r="L279" s="19">
        <v>214668</v>
      </c>
      <c r="M279" s="4" t="s">
        <v>37</v>
      </c>
      <c r="N279" s="6">
        <f>(G279+H279+I279)/L279*100</f>
        <v>7.7063185942944452</v>
      </c>
    </row>
    <row r="280" spans="1:14" x14ac:dyDescent="0.3">
      <c r="A280" s="4" t="s">
        <v>481</v>
      </c>
      <c r="B280" s="4" t="s">
        <v>26</v>
      </c>
      <c r="C280" s="5" t="s">
        <v>164</v>
      </c>
      <c r="D280" s="4" t="s">
        <v>34</v>
      </c>
      <c r="E280" s="6" t="s">
        <v>35</v>
      </c>
      <c r="F280" s="6" t="s">
        <v>36</v>
      </c>
      <c r="G280" s="16">
        <v>11765</v>
      </c>
      <c r="H280" s="16">
        <v>693</v>
      </c>
      <c r="I280" s="16">
        <v>729</v>
      </c>
      <c r="J280" s="19">
        <v>744</v>
      </c>
      <c r="K280" s="21">
        <v>97772</v>
      </c>
      <c r="L280" s="19">
        <v>194243</v>
      </c>
      <c r="M280" s="4" t="s">
        <v>19</v>
      </c>
      <c r="N280" s="6">
        <f t="shared" ref="N280:N292" si="11">(G280+H280+I280)/L280*100</f>
        <v>6.7889190344053576</v>
      </c>
    </row>
    <row r="281" spans="1:14" x14ac:dyDescent="0.3">
      <c r="A281" s="4" t="s">
        <v>482</v>
      </c>
      <c r="B281" s="4" t="s">
        <v>53</v>
      </c>
      <c r="C281" s="5">
        <v>45918</v>
      </c>
      <c r="D281" s="4" t="s">
        <v>34</v>
      </c>
      <c r="E281" s="6" t="s">
        <v>44</v>
      </c>
      <c r="F281" s="6" t="s">
        <v>45</v>
      </c>
      <c r="G281" s="16">
        <v>3828</v>
      </c>
      <c r="H281" s="16">
        <v>203</v>
      </c>
      <c r="I281" s="16">
        <v>506</v>
      </c>
      <c r="J281" s="19">
        <v>2440</v>
      </c>
      <c r="K281" s="21">
        <v>63650</v>
      </c>
      <c r="L281" s="19">
        <v>126365</v>
      </c>
      <c r="M281" s="4" t="s">
        <v>24</v>
      </c>
      <c r="N281" s="6">
        <f t="shared" si="11"/>
        <v>3.5903929094290348</v>
      </c>
    </row>
    <row r="282" spans="1:14" x14ac:dyDescent="0.3">
      <c r="A282" s="4" t="s">
        <v>483</v>
      </c>
      <c r="B282" s="4" t="s">
        <v>21</v>
      </c>
      <c r="C282" s="5" t="s">
        <v>484</v>
      </c>
      <c r="D282" s="4" t="s">
        <v>34</v>
      </c>
      <c r="E282" s="6" t="s">
        <v>35</v>
      </c>
      <c r="F282" s="6" t="s">
        <v>70</v>
      </c>
      <c r="G282" s="16">
        <v>3917</v>
      </c>
      <c r="H282" s="16">
        <v>865</v>
      </c>
      <c r="I282" s="16">
        <v>759</v>
      </c>
      <c r="J282" s="19">
        <v>2282</v>
      </c>
      <c r="K282" s="21">
        <v>56125</v>
      </c>
      <c r="L282" s="19">
        <v>154014</v>
      </c>
      <c r="M282" s="4" t="s">
        <v>19</v>
      </c>
      <c r="N282" s="6">
        <f t="shared" si="11"/>
        <v>3.5977248821535706</v>
      </c>
    </row>
    <row r="283" spans="1:14" x14ac:dyDescent="0.3">
      <c r="A283" s="4" t="s">
        <v>485</v>
      </c>
      <c r="B283" s="4" t="s">
        <v>21</v>
      </c>
      <c r="C283" s="5" t="s">
        <v>486</v>
      </c>
      <c r="D283" s="4" t="s">
        <v>16</v>
      </c>
      <c r="E283" s="6" t="s">
        <v>35</v>
      </c>
      <c r="F283" s="6" t="s">
        <v>36</v>
      </c>
      <c r="G283" s="16">
        <v>22618</v>
      </c>
      <c r="H283" s="16">
        <v>641</v>
      </c>
      <c r="I283" s="16">
        <v>416</v>
      </c>
      <c r="J283" s="19">
        <v>1530</v>
      </c>
      <c r="K283" s="21">
        <v>18395</v>
      </c>
      <c r="L283" s="19">
        <v>215211</v>
      </c>
      <c r="M283" s="4" t="s">
        <v>63</v>
      </c>
      <c r="N283" s="6">
        <f t="shared" si="11"/>
        <v>11.000831741871931</v>
      </c>
    </row>
    <row r="284" spans="1:14" x14ac:dyDescent="0.3">
      <c r="A284" s="4" t="s">
        <v>487</v>
      </c>
      <c r="B284" s="4" t="s">
        <v>53</v>
      </c>
      <c r="C284" s="5" t="s">
        <v>488</v>
      </c>
      <c r="D284" s="4" t="s">
        <v>43</v>
      </c>
      <c r="E284" s="6" t="s">
        <v>48</v>
      </c>
      <c r="F284" s="6" t="s">
        <v>49</v>
      </c>
      <c r="G284" s="16">
        <v>8988</v>
      </c>
      <c r="H284" s="16">
        <v>228</v>
      </c>
      <c r="I284" s="16">
        <v>766</v>
      </c>
      <c r="J284" s="19">
        <v>652</v>
      </c>
      <c r="K284" s="21">
        <v>63789</v>
      </c>
      <c r="L284" s="19">
        <v>219785</v>
      </c>
      <c r="M284" s="4" t="s">
        <v>31</v>
      </c>
      <c r="N284" s="6">
        <f t="shared" si="11"/>
        <v>4.5417112177810131</v>
      </c>
    </row>
    <row r="285" spans="1:14" x14ac:dyDescent="0.3">
      <c r="A285" s="4" t="s">
        <v>489</v>
      </c>
      <c r="B285" s="4" t="s">
        <v>14</v>
      </c>
      <c r="C285" s="5" t="s">
        <v>89</v>
      </c>
      <c r="D285" s="4" t="s">
        <v>34</v>
      </c>
      <c r="E285" s="6" t="s">
        <v>44</v>
      </c>
      <c r="F285" s="6" t="s">
        <v>45</v>
      </c>
      <c r="G285" s="16">
        <v>20410</v>
      </c>
      <c r="H285" s="16">
        <v>1332</v>
      </c>
      <c r="I285" s="16">
        <v>472</v>
      </c>
      <c r="J285" s="19">
        <v>1202</v>
      </c>
      <c r="K285" s="21">
        <v>9418</v>
      </c>
      <c r="L285" s="19">
        <v>200806</v>
      </c>
      <c r="M285" s="4" t="s">
        <v>19</v>
      </c>
      <c r="N285" s="6">
        <f t="shared" si="11"/>
        <v>11.062418453631864</v>
      </c>
    </row>
    <row r="286" spans="1:14" x14ac:dyDescent="0.3">
      <c r="A286" s="4" t="s">
        <v>490</v>
      </c>
      <c r="B286" s="4" t="s">
        <v>53</v>
      </c>
      <c r="C286" s="5" t="s">
        <v>434</v>
      </c>
      <c r="D286" s="4" t="s">
        <v>34</v>
      </c>
      <c r="E286" s="6" t="s">
        <v>17</v>
      </c>
      <c r="F286" s="6" t="s">
        <v>18</v>
      </c>
      <c r="G286" s="16">
        <v>16594</v>
      </c>
      <c r="H286" s="16">
        <v>809</v>
      </c>
      <c r="I286" s="16">
        <v>784</v>
      </c>
      <c r="J286" s="19">
        <v>1655</v>
      </c>
      <c r="K286" s="21">
        <v>35505</v>
      </c>
      <c r="L286" s="19">
        <v>112588</v>
      </c>
      <c r="M286" s="4" t="s">
        <v>31</v>
      </c>
      <c r="N286" s="6">
        <f t="shared" si="11"/>
        <v>16.153586527871532</v>
      </c>
    </row>
    <row r="287" spans="1:14" x14ac:dyDescent="0.3">
      <c r="A287" s="4" t="s">
        <v>491</v>
      </c>
      <c r="B287" s="4" t="s">
        <v>14</v>
      </c>
      <c r="C287" s="5">
        <v>45919</v>
      </c>
      <c r="D287" s="4" t="s">
        <v>28</v>
      </c>
      <c r="E287" s="6" t="s">
        <v>48</v>
      </c>
      <c r="F287" s="6" t="s">
        <v>49</v>
      </c>
      <c r="G287" s="16">
        <v>22128</v>
      </c>
      <c r="H287" s="16">
        <v>1004</v>
      </c>
      <c r="I287" s="16">
        <v>690</v>
      </c>
      <c r="J287" s="19">
        <v>2048</v>
      </c>
      <c r="K287" s="21">
        <v>19443</v>
      </c>
      <c r="L287" s="19">
        <v>103646</v>
      </c>
      <c r="M287" s="4" t="s">
        <v>24</v>
      </c>
      <c r="N287" s="6">
        <f t="shared" si="11"/>
        <v>22.984003241803833</v>
      </c>
    </row>
    <row r="288" spans="1:14" x14ac:dyDescent="0.3">
      <c r="A288" s="4" t="s">
        <v>492</v>
      </c>
      <c r="B288" s="4" t="s">
        <v>26</v>
      </c>
      <c r="C288" s="5" t="s">
        <v>358</v>
      </c>
      <c r="D288" s="4" t="s">
        <v>34</v>
      </c>
      <c r="E288" s="6" t="s">
        <v>35</v>
      </c>
      <c r="F288" s="6" t="s">
        <v>36</v>
      </c>
      <c r="G288" s="16">
        <v>14977</v>
      </c>
      <c r="H288" s="16">
        <v>274</v>
      </c>
      <c r="I288" s="16">
        <v>798</v>
      </c>
      <c r="J288" s="19">
        <v>458</v>
      </c>
      <c r="K288" s="21">
        <v>6636</v>
      </c>
      <c r="L288" s="19">
        <v>43654</v>
      </c>
      <c r="M288" s="4" t="s">
        <v>19</v>
      </c>
      <c r="N288" s="6">
        <f t="shared" si="11"/>
        <v>36.76409950978146</v>
      </c>
    </row>
    <row r="289" spans="1:14" x14ac:dyDescent="0.3">
      <c r="A289" s="4" t="s">
        <v>493</v>
      </c>
      <c r="B289" s="4" t="s">
        <v>26</v>
      </c>
      <c r="C289" s="5" t="s">
        <v>494</v>
      </c>
      <c r="D289" s="4" t="s">
        <v>28</v>
      </c>
      <c r="E289" s="6" t="s">
        <v>48</v>
      </c>
      <c r="F289" s="6" t="s">
        <v>49</v>
      </c>
      <c r="G289" s="16">
        <v>2009</v>
      </c>
      <c r="H289" s="16">
        <v>1037</v>
      </c>
      <c r="I289" s="16">
        <v>344</v>
      </c>
      <c r="J289" s="19">
        <v>2277</v>
      </c>
      <c r="K289" s="21">
        <v>85743</v>
      </c>
      <c r="L289" s="19">
        <v>58743</v>
      </c>
      <c r="M289" s="4" t="s">
        <v>37</v>
      </c>
      <c r="N289" s="6">
        <f t="shared" si="11"/>
        <v>5.7709003625963939</v>
      </c>
    </row>
    <row r="290" spans="1:14" x14ac:dyDescent="0.3">
      <c r="A290" s="4" t="s">
        <v>495</v>
      </c>
      <c r="B290" s="4" t="s">
        <v>26</v>
      </c>
      <c r="C290" s="5" t="s">
        <v>268</v>
      </c>
      <c r="D290" s="4" t="s">
        <v>43</v>
      </c>
      <c r="E290" s="6" t="s">
        <v>44</v>
      </c>
      <c r="F290" s="6" t="s">
        <v>45</v>
      </c>
      <c r="G290" s="16">
        <v>18644</v>
      </c>
      <c r="H290" s="16">
        <v>1369</v>
      </c>
      <c r="I290" s="16">
        <v>887</v>
      </c>
      <c r="J290" s="19">
        <v>1256</v>
      </c>
      <c r="K290" s="21">
        <v>43415</v>
      </c>
      <c r="L290" s="19">
        <v>88368</v>
      </c>
      <c r="M290" s="4" t="s">
        <v>31</v>
      </c>
      <c r="N290" s="6">
        <f t="shared" si="11"/>
        <v>23.651095419156256</v>
      </c>
    </row>
    <row r="291" spans="1:14" x14ac:dyDescent="0.3">
      <c r="A291" s="4" t="s">
        <v>496</v>
      </c>
      <c r="B291" s="4" t="s">
        <v>21</v>
      </c>
      <c r="C291" s="5">
        <v>45920</v>
      </c>
      <c r="D291" s="4" t="s">
        <v>16</v>
      </c>
      <c r="E291" s="6" t="s">
        <v>40</v>
      </c>
      <c r="F291" s="6"/>
      <c r="G291" s="16">
        <v>24422</v>
      </c>
      <c r="H291" s="16">
        <v>327</v>
      </c>
      <c r="I291" s="16">
        <v>481</v>
      </c>
      <c r="J291" s="19">
        <v>2371</v>
      </c>
      <c r="K291" s="21">
        <v>35340</v>
      </c>
      <c r="L291" s="19">
        <v>245244</v>
      </c>
      <c r="M291" s="4" t="s">
        <v>24</v>
      </c>
      <c r="N291" s="6">
        <f t="shared" si="11"/>
        <v>10.287713460879777</v>
      </c>
    </row>
    <row r="292" spans="1:14" x14ac:dyDescent="0.3">
      <c r="A292" s="4" t="s">
        <v>497</v>
      </c>
      <c r="B292" s="4" t="s">
        <v>26</v>
      </c>
      <c r="C292" s="5" t="s">
        <v>82</v>
      </c>
      <c r="D292" s="4" t="s">
        <v>16</v>
      </c>
      <c r="E292" s="6" t="s">
        <v>44</v>
      </c>
      <c r="F292" s="6" t="s">
        <v>45</v>
      </c>
      <c r="G292" s="16">
        <v>11865</v>
      </c>
      <c r="H292" s="16">
        <v>241</v>
      </c>
      <c r="I292" s="16">
        <v>319</v>
      </c>
      <c r="J292" s="19">
        <v>703</v>
      </c>
      <c r="K292" s="21">
        <v>69596</v>
      </c>
      <c r="L292" s="19">
        <v>177513</v>
      </c>
      <c r="M292" s="4" t="s">
        <v>37</v>
      </c>
      <c r="N292" s="6">
        <f t="shared" si="11"/>
        <v>6.9994873614890176</v>
      </c>
    </row>
    <row r="293" spans="1:14" x14ac:dyDescent="0.3">
      <c r="A293" s="4" t="s">
        <v>498</v>
      </c>
      <c r="B293" s="4" t="s">
        <v>14</v>
      </c>
      <c r="C293" s="5" t="s">
        <v>499</v>
      </c>
      <c r="D293" s="4" t="s">
        <v>43</v>
      </c>
      <c r="E293" s="6" t="s">
        <v>44</v>
      </c>
      <c r="F293" s="6" t="s">
        <v>45</v>
      </c>
      <c r="G293" s="16">
        <v>4219</v>
      </c>
      <c r="H293" s="16">
        <v>240</v>
      </c>
      <c r="I293" s="16">
        <v>670</v>
      </c>
      <c r="J293" s="19">
        <v>815</v>
      </c>
      <c r="K293" s="21">
        <v>11978</v>
      </c>
      <c r="L293" s="19">
        <v>159735</v>
      </c>
      <c r="M293" s="4" t="s">
        <v>37</v>
      </c>
      <c r="N293" s="6">
        <f>(G293+H293+I293)/L293*100</f>
        <v>3.2109431245500355</v>
      </c>
    </row>
    <row r="294" spans="1:14" x14ac:dyDescent="0.3">
      <c r="A294" s="4" t="s">
        <v>500</v>
      </c>
      <c r="B294" s="4" t="s">
        <v>26</v>
      </c>
      <c r="C294" s="5" t="s">
        <v>501</v>
      </c>
      <c r="D294" s="4" t="s">
        <v>16</v>
      </c>
      <c r="E294" s="6" t="s">
        <v>35</v>
      </c>
      <c r="F294" s="6" t="s">
        <v>70</v>
      </c>
      <c r="G294" s="16">
        <v>9041</v>
      </c>
      <c r="H294" s="16">
        <v>1133</v>
      </c>
      <c r="I294" s="16">
        <v>612</v>
      </c>
      <c r="J294" s="19">
        <v>1687</v>
      </c>
      <c r="K294" s="21">
        <v>28102</v>
      </c>
      <c r="L294" s="19">
        <v>195683</v>
      </c>
      <c r="M294" s="4" t="s">
        <v>37</v>
      </c>
      <c r="N294" s="6">
        <f t="shared" ref="N294:N301" si="12">(G294+H294+I294)/L294*100</f>
        <v>5.51197600200324</v>
      </c>
    </row>
    <row r="295" spans="1:14" x14ac:dyDescent="0.3">
      <c r="A295" s="4" t="s">
        <v>502</v>
      </c>
      <c r="B295" s="4" t="s">
        <v>53</v>
      </c>
      <c r="C295" s="5" t="s">
        <v>503</v>
      </c>
      <c r="D295" s="4" t="s">
        <v>43</v>
      </c>
      <c r="E295" s="6" t="s">
        <v>78</v>
      </c>
      <c r="F295" s="6" t="s">
        <v>40</v>
      </c>
      <c r="G295" s="16">
        <v>20444</v>
      </c>
      <c r="H295" s="16">
        <v>233</v>
      </c>
      <c r="I295" s="16">
        <v>189</v>
      </c>
      <c r="J295" s="19">
        <v>2879</v>
      </c>
      <c r="K295" s="21">
        <v>28185</v>
      </c>
      <c r="L295" s="19">
        <v>159891</v>
      </c>
      <c r="M295" s="4" t="s">
        <v>37</v>
      </c>
      <c r="N295" s="6">
        <f t="shared" si="12"/>
        <v>13.050140408153055</v>
      </c>
    </row>
    <row r="296" spans="1:14" x14ac:dyDescent="0.3">
      <c r="A296" s="4" t="s">
        <v>504</v>
      </c>
      <c r="B296" s="4" t="s">
        <v>53</v>
      </c>
      <c r="C296" s="5" t="s">
        <v>505</v>
      </c>
      <c r="D296" s="4" t="s">
        <v>43</v>
      </c>
      <c r="E296" s="6" t="s">
        <v>17</v>
      </c>
      <c r="F296" s="6" t="s">
        <v>18</v>
      </c>
      <c r="G296" s="16">
        <v>7287</v>
      </c>
      <c r="H296" s="16">
        <v>1240</v>
      </c>
      <c r="I296" s="16">
        <v>686</v>
      </c>
      <c r="J296" s="19">
        <v>1255</v>
      </c>
      <c r="K296" s="21">
        <v>15403</v>
      </c>
      <c r="L296" s="19">
        <v>147971</v>
      </c>
      <c r="M296" s="4" t="s">
        <v>19</v>
      </c>
      <c r="N296" s="6">
        <f t="shared" si="12"/>
        <v>6.2262200025680707</v>
      </c>
    </row>
    <row r="297" spans="1:14" x14ac:dyDescent="0.3">
      <c r="A297" s="4" t="s">
        <v>506</v>
      </c>
      <c r="B297" s="4" t="s">
        <v>21</v>
      </c>
      <c r="C297" s="5" t="s">
        <v>507</v>
      </c>
      <c r="D297" s="4" t="s">
        <v>43</v>
      </c>
      <c r="E297" s="6" t="s">
        <v>177</v>
      </c>
      <c r="F297" s="6" t="s">
        <v>178</v>
      </c>
      <c r="G297" s="16">
        <v>3619</v>
      </c>
      <c r="H297" s="16">
        <v>1376</v>
      </c>
      <c r="I297" s="16">
        <v>410</v>
      </c>
      <c r="J297" s="19">
        <v>2499</v>
      </c>
      <c r="K297" s="21">
        <v>58146</v>
      </c>
      <c r="L297" s="19">
        <v>52149</v>
      </c>
      <c r="M297" s="4" t="s">
        <v>19</v>
      </c>
      <c r="N297" s="6">
        <f t="shared" si="12"/>
        <v>10.364532397553166</v>
      </c>
    </row>
    <row r="298" spans="1:14" x14ac:dyDescent="0.3">
      <c r="A298" s="4" t="s">
        <v>508</v>
      </c>
      <c r="B298" s="4" t="s">
        <v>53</v>
      </c>
      <c r="C298" s="5" t="s">
        <v>509</v>
      </c>
      <c r="D298" s="4" t="s">
        <v>16</v>
      </c>
      <c r="E298" s="6" t="s">
        <v>93</v>
      </c>
      <c r="F298" s="6"/>
      <c r="G298" s="16">
        <v>10512</v>
      </c>
      <c r="H298" s="16">
        <v>1197</v>
      </c>
      <c r="I298" s="16">
        <v>544</v>
      </c>
      <c r="J298" s="19">
        <v>2012</v>
      </c>
      <c r="K298" s="21">
        <v>10245</v>
      </c>
      <c r="L298" s="19">
        <v>140102</v>
      </c>
      <c r="M298" s="4" t="s">
        <v>19</v>
      </c>
      <c r="N298" s="6">
        <f t="shared" si="12"/>
        <v>8.7457709383163689</v>
      </c>
    </row>
    <row r="299" spans="1:14" x14ac:dyDescent="0.3">
      <c r="A299" s="4" t="s">
        <v>510</v>
      </c>
      <c r="B299" s="4" t="s">
        <v>14</v>
      </c>
      <c r="C299" s="5">
        <v>45924</v>
      </c>
      <c r="D299" s="4" t="s">
        <v>28</v>
      </c>
      <c r="E299" s="6" t="s">
        <v>55</v>
      </c>
      <c r="F299" s="6" t="s">
        <v>56</v>
      </c>
      <c r="G299" s="16">
        <v>3342</v>
      </c>
      <c r="H299" s="16">
        <v>787</v>
      </c>
      <c r="I299" s="16">
        <v>375</v>
      </c>
      <c r="J299" s="19">
        <v>907</v>
      </c>
      <c r="K299" s="21">
        <v>85823</v>
      </c>
      <c r="L299" s="19">
        <v>99189</v>
      </c>
      <c r="M299" s="4" t="s">
        <v>24</v>
      </c>
      <c r="N299" s="6">
        <f t="shared" si="12"/>
        <v>4.5408260996683101</v>
      </c>
    </row>
    <row r="300" spans="1:14" x14ac:dyDescent="0.3">
      <c r="A300" s="4" t="s">
        <v>511</v>
      </c>
      <c r="B300" s="4" t="s">
        <v>26</v>
      </c>
      <c r="C300" s="5">
        <v>45925</v>
      </c>
      <c r="D300" s="4" t="s">
        <v>43</v>
      </c>
      <c r="E300" s="6" t="s">
        <v>78</v>
      </c>
      <c r="F300" s="6" t="s">
        <v>40</v>
      </c>
      <c r="G300" s="16">
        <v>12568</v>
      </c>
      <c r="H300" s="16">
        <v>541</v>
      </c>
      <c r="I300" s="16">
        <v>273</v>
      </c>
      <c r="J300" s="19">
        <v>2767</v>
      </c>
      <c r="K300" s="21">
        <v>22331</v>
      </c>
      <c r="L300" s="19">
        <v>192747</v>
      </c>
      <c r="M300" s="4" t="s">
        <v>24</v>
      </c>
      <c r="N300" s="6">
        <f t="shared" si="12"/>
        <v>6.9427799135654515</v>
      </c>
    </row>
    <row r="301" spans="1:14" x14ac:dyDescent="0.3">
      <c r="A301" s="4" t="s">
        <v>512</v>
      </c>
      <c r="B301" s="4" t="s">
        <v>21</v>
      </c>
      <c r="C301" s="5">
        <v>45926</v>
      </c>
      <c r="D301" s="4" t="s">
        <v>34</v>
      </c>
      <c r="E301" s="6" t="s">
        <v>55</v>
      </c>
      <c r="F301" s="6" t="s">
        <v>56</v>
      </c>
      <c r="G301" s="16">
        <v>21216</v>
      </c>
      <c r="H301" s="16">
        <v>226</v>
      </c>
      <c r="I301" s="16">
        <v>187</v>
      </c>
      <c r="J301" s="19">
        <v>1573</v>
      </c>
      <c r="K301" s="21">
        <v>62688</v>
      </c>
      <c r="L301" s="19">
        <v>111031</v>
      </c>
      <c r="M301" s="4" t="s">
        <v>24</v>
      </c>
      <c r="N301" s="6">
        <f t="shared" si="12"/>
        <v>19.48014518467815</v>
      </c>
    </row>
    <row r="302" spans="1:14" x14ac:dyDescent="0.3">
      <c r="E302" s="1"/>
      <c r="F302" s="2"/>
      <c r="I302" s="2"/>
    </row>
    <row r="303" spans="1:14" x14ac:dyDescent="0.3">
      <c r="E303" s="4"/>
      <c r="F303" s="6"/>
      <c r="I303" s="6"/>
    </row>
    <row r="304" spans="1:14" x14ac:dyDescent="0.3">
      <c r="E304" s="4"/>
      <c r="F304" s="6"/>
      <c r="I304" s="6"/>
    </row>
    <row r="305" spans="5:9" x14ac:dyDescent="0.3">
      <c r="E305" s="4"/>
      <c r="F305" s="6"/>
      <c r="I305" s="6"/>
    </row>
    <row r="306" spans="5:9" x14ac:dyDescent="0.3">
      <c r="E306" s="4"/>
      <c r="F306" s="6"/>
      <c r="I306" s="6"/>
    </row>
    <row r="307" spans="5:9" x14ac:dyDescent="0.3">
      <c r="E307" s="4"/>
      <c r="F307" s="6"/>
      <c r="I307" s="6"/>
    </row>
    <row r="308" spans="5:9" x14ac:dyDescent="0.3">
      <c r="E308" s="4"/>
      <c r="F308" s="6"/>
      <c r="I308" s="6"/>
    </row>
    <row r="309" spans="5:9" x14ac:dyDescent="0.3">
      <c r="E309" s="4"/>
      <c r="F309" s="6"/>
      <c r="I309" s="6"/>
    </row>
    <row r="310" spans="5:9" x14ac:dyDescent="0.3">
      <c r="E310" s="4"/>
      <c r="F310" s="6"/>
      <c r="I310" s="6"/>
    </row>
    <row r="311" spans="5:9" x14ac:dyDescent="0.3">
      <c r="E311" s="4"/>
      <c r="F311" s="6"/>
      <c r="I311" s="6"/>
    </row>
    <row r="312" spans="5:9" x14ac:dyDescent="0.3">
      <c r="E312" s="4"/>
      <c r="F312" s="6"/>
      <c r="I312" s="6"/>
    </row>
    <row r="313" spans="5:9" x14ac:dyDescent="0.3">
      <c r="E313" s="4"/>
      <c r="F313" s="6"/>
      <c r="I313" s="6"/>
    </row>
    <row r="314" spans="5:9" x14ac:dyDescent="0.3">
      <c r="E314" s="4"/>
      <c r="F314" s="6"/>
      <c r="I314" s="6"/>
    </row>
    <row r="315" spans="5:9" x14ac:dyDescent="0.3">
      <c r="E315" s="4"/>
      <c r="F315" s="6"/>
      <c r="I315" s="6"/>
    </row>
    <row r="316" spans="5:9" x14ac:dyDescent="0.3">
      <c r="E316" s="4"/>
      <c r="F316" s="6"/>
      <c r="I316" s="6"/>
    </row>
    <row r="317" spans="5:9" x14ac:dyDescent="0.3">
      <c r="E317" s="4"/>
      <c r="F317" s="6"/>
      <c r="I317" s="6"/>
    </row>
    <row r="318" spans="5:9" x14ac:dyDescent="0.3">
      <c r="E318" s="4"/>
      <c r="F318" s="6"/>
      <c r="I318" s="6"/>
    </row>
    <row r="319" spans="5:9" x14ac:dyDescent="0.3">
      <c r="E319" s="4"/>
      <c r="F319" s="6"/>
      <c r="I319" s="6"/>
    </row>
    <row r="320" spans="5:9" x14ac:dyDescent="0.3">
      <c r="E320" s="4"/>
      <c r="F320" s="6"/>
      <c r="I320" s="6"/>
    </row>
    <row r="321" spans="5:9" x14ac:dyDescent="0.3">
      <c r="E321" s="4"/>
      <c r="F321" s="6"/>
      <c r="I321" s="6"/>
    </row>
    <row r="322" spans="5:9" x14ac:dyDescent="0.3">
      <c r="E322" s="4"/>
      <c r="F322" s="6"/>
      <c r="I322" s="6"/>
    </row>
    <row r="323" spans="5:9" x14ac:dyDescent="0.3">
      <c r="E323" s="4"/>
      <c r="F323" s="6"/>
      <c r="I323" s="6"/>
    </row>
    <row r="324" spans="5:9" x14ac:dyDescent="0.3">
      <c r="E324" s="4"/>
      <c r="F324" s="6"/>
      <c r="I324" s="6"/>
    </row>
    <row r="325" spans="5:9" x14ac:dyDescent="0.3">
      <c r="E325" s="4"/>
      <c r="F325" s="6"/>
      <c r="I325" s="6"/>
    </row>
    <row r="326" spans="5:9" x14ac:dyDescent="0.3">
      <c r="E326" s="4"/>
      <c r="F326" s="6"/>
      <c r="I326" s="6"/>
    </row>
    <row r="327" spans="5:9" x14ac:dyDescent="0.3">
      <c r="E327" s="4"/>
      <c r="F327" s="6"/>
      <c r="I327" s="6"/>
    </row>
    <row r="328" spans="5:9" x14ac:dyDescent="0.3">
      <c r="E328" s="4"/>
      <c r="F328" s="6"/>
      <c r="I328" s="6"/>
    </row>
    <row r="329" spans="5:9" x14ac:dyDescent="0.3">
      <c r="E329" s="4"/>
      <c r="F329" s="6"/>
      <c r="I329" s="6"/>
    </row>
    <row r="330" spans="5:9" x14ac:dyDescent="0.3">
      <c r="E330" s="4"/>
      <c r="F330" s="6"/>
      <c r="I330" s="6"/>
    </row>
    <row r="331" spans="5:9" x14ac:dyDescent="0.3">
      <c r="E331" s="4"/>
      <c r="F331" s="6"/>
      <c r="I331" s="6"/>
    </row>
    <row r="332" spans="5:9" x14ac:dyDescent="0.3">
      <c r="E332" s="4"/>
      <c r="F332" s="6"/>
      <c r="I332" s="6"/>
    </row>
    <row r="333" spans="5:9" x14ac:dyDescent="0.3">
      <c r="E333" s="4"/>
      <c r="F333" s="6"/>
      <c r="I333" s="6"/>
    </row>
    <row r="334" spans="5:9" x14ac:dyDescent="0.3">
      <c r="E334" s="4"/>
      <c r="F334" s="6"/>
      <c r="I334" s="6"/>
    </row>
    <row r="335" spans="5:9" x14ac:dyDescent="0.3">
      <c r="E335" s="4"/>
      <c r="F335" s="6"/>
      <c r="I335" s="6"/>
    </row>
    <row r="336" spans="5:9" x14ac:dyDescent="0.3">
      <c r="E336" s="4"/>
      <c r="F336" s="6"/>
      <c r="I336" s="6"/>
    </row>
    <row r="337" spans="5:9" x14ac:dyDescent="0.3">
      <c r="E337" s="4"/>
      <c r="F337" s="6"/>
      <c r="I337" s="6"/>
    </row>
    <row r="338" spans="5:9" x14ac:dyDescent="0.3">
      <c r="E338" s="4"/>
      <c r="F338" s="6"/>
      <c r="I338" s="6"/>
    </row>
    <row r="339" spans="5:9" x14ac:dyDescent="0.3">
      <c r="E339" s="4"/>
      <c r="F339" s="6"/>
      <c r="I339" s="6"/>
    </row>
    <row r="340" spans="5:9" x14ac:dyDescent="0.3">
      <c r="E340" s="4"/>
      <c r="F340" s="6"/>
      <c r="I340" s="6"/>
    </row>
    <row r="341" spans="5:9" x14ac:dyDescent="0.3">
      <c r="E341" s="4"/>
      <c r="F341" s="6"/>
      <c r="I341" s="6"/>
    </row>
    <row r="342" spans="5:9" x14ac:dyDescent="0.3">
      <c r="E342" s="4"/>
      <c r="F342" s="6"/>
      <c r="I342" s="6"/>
    </row>
    <row r="343" spans="5:9" x14ac:dyDescent="0.3">
      <c r="E343" s="4"/>
      <c r="F343" s="6"/>
      <c r="I343" s="6"/>
    </row>
    <row r="344" spans="5:9" x14ac:dyDescent="0.3">
      <c r="E344" s="4"/>
      <c r="F344" s="6"/>
      <c r="I344" s="6"/>
    </row>
    <row r="345" spans="5:9" x14ac:dyDescent="0.3">
      <c r="E345" s="4"/>
      <c r="F345" s="6"/>
      <c r="I345" s="6"/>
    </row>
    <row r="346" spans="5:9" x14ac:dyDescent="0.3">
      <c r="E346" s="4"/>
      <c r="F346" s="6"/>
      <c r="I346" s="6"/>
    </row>
    <row r="347" spans="5:9" x14ac:dyDescent="0.3">
      <c r="E347" s="4"/>
      <c r="F347" s="6"/>
      <c r="I347" s="6"/>
    </row>
    <row r="348" spans="5:9" x14ac:dyDescent="0.3">
      <c r="E348" s="4"/>
      <c r="F348" s="6"/>
      <c r="I348" s="6"/>
    </row>
    <row r="349" spans="5:9" x14ac:dyDescent="0.3">
      <c r="E349" s="4"/>
      <c r="F349" s="6"/>
      <c r="I349" s="6"/>
    </row>
    <row r="350" spans="5:9" x14ac:dyDescent="0.3">
      <c r="E350" s="4"/>
      <c r="F350" s="6"/>
      <c r="I350" s="6"/>
    </row>
    <row r="351" spans="5:9" x14ac:dyDescent="0.3">
      <c r="E351" s="4"/>
      <c r="F351" s="6"/>
      <c r="I351" s="6"/>
    </row>
    <row r="352" spans="5:9" x14ac:dyDescent="0.3">
      <c r="E352" s="4"/>
      <c r="F352" s="6"/>
      <c r="I352" s="6"/>
    </row>
    <row r="353" spans="5:9" x14ac:dyDescent="0.3">
      <c r="E353" s="4"/>
      <c r="F353" s="6"/>
      <c r="I353" s="6"/>
    </row>
    <row r="354" spans="5:9" x14ac:dyDescent="0.3">
      <c r="E354" s="4"/>
      <c r="F354" s="6"/>
      <c r="I354" s="6"/>
    </row>
    <row r="355" spans="5:9" x14ac:dyDescent="0.3">
      <c r="E355" s="4"/>
      <c r="F355" s="6"/>
      <c r="I355" s="6"/>
    </row>
    <row r="356" spans="5:9" x14ac:dyDescent="0.3">
      <c r="E356" s="4"/>
      <c r="F356" s="6"/>
      <c r="I356" s="6"/>
    </row>
    <row r="357" spans="5:9" x14ac:dyDescent="0.3">
      <c r="E357" s="4"/>
      <c r="F357" s="6"/>
      <c r="I357" s="6"/>
    </row>
    <row r="358" spans="5:9" x14ac:dyDescent="0.3">
      <c r="E358" s="4"/>
      <c r="F358" s="6"/>
      <c r="I358" s="6"/>
    </row>
    <row r="359" spans="5:9" x14ac:dyDescent="0.3">
      <c r="E359" s="4"/>
      <c r="F359" s="6"/>
      <c r="I359" s="6"/>
    </row>
    <row r="360" spans="5:9" x14ac:dyDescent="0.3">
      <c r="E360" s="4"/>
      <c r="F360" s="6"/>
      <c r="I360" s="6"/>
    </row>
    <row r="361" spans="5:9" x14ac:dyDescent="0.3">
      <c r="E361" s="4"/>
      <c r="F361" s="6"/>
      <c r="I361" s="6"/>
    </row>
    <row r="362" spans="5:9" x14ac:dyDescent="0.3">
      <c r="E362" s="4"/>
      <c r="F362" s="6"/>
      <c r="I362" s="6"/>
    </row>
    <row r="363" spans="5:9" x14ac:dyDescent="0.3">
      <c r="E363" s="4"/>
      <c r="F363" s="6"/>
      <c r="I363" s="6"/>
    </row>
    <row r="364" spans="5:9" x14ac:dyDescent="0.3">
      <c r="E364" s="4"/>
      <c r="F364" s="6"/>
      <c r="I364" s="6"/>
    </row>
    <row r="365" spans="5:9" x14ac:dyDescent="0.3">
      <c r="E365" s="4"/>
      <c r="F365" s="6"/>
      <c r="I365" s="6"/>
    </row>
    <row r="366" spans="5:9" x14ac:dyDescent="0.3">
      <c r="E366" s="4"/>
      <c r="F366" s="6"/>
      <c r="I366" s="6"/>
    </row>
    <row r="367" spans="5:9" x14ac:dyDescent="0.3">
      <c r="E367" s="4"/>
      <c r="F367" s="6"/>
      <c r="I367" s="6"/>
    </row>
    <row r="368" spans="5:9" x14ac:dyDescent="0.3">
      <c r="E368" s="4"/>
      <c r="F368" s="6"/>
      <c r="I368" s="6"/>
    </row>
    <row r="369" spans="5:9" x14ac:dyDescent="0.3">
      <c r="E369" s="4"/>
      <c r="F369" s="6"/>
      <c r="I369" s="6"/>
    </row>
    <row r="370" spans="5:9" x14ac:dyDescent="0.3">
      <c r="E370" s="4"/>
      <c r="F370" s="6"/>
      <c r="I370" s="6"/>
    </row>
    <row r="371" spans="5:9" x14ac:dyDescent="0.3">
      <c r="E371" s="4"/>
      <c r="F371" s="6"/>
      <c r="I371" s="6"/>
    </row>
    <row r="372" spans="5:9" x14ac:dyDescent="0.3">
      <c r="E372" s="4"/>
      <c r="F372" s="6"/>
      <c r="I372" s="6"/>
    </row>
    <row r="373" spans="5:9" x14ac:dyDescent="0.3">
      <c r="E373" s="4"/>
      <c r="F373" s="6"/>
      <c r="I373" s="6"/>
    </row>
    <row r="374" spans="5:9" x14ac:dyDescent="0.3">
      <c r="E374" s="4"/>
      <c r="F374" s="6"/>
      <c r="I374" s="6"/>
    </row>
    <row r="375" spans="5:9" x14ac:dyDescent="0.3">
      <c r="E375" s="4"/>
      <c r="F375" s="6"/>
      <c r="I375" s="6"/>
    </row>
    <row r="376" spans="5:9" x14ac:dyDescent="0.3">
      <c r="E376" s="4"/>
      <c r="F376" s="6"/>
      <c r="I376" s="6"/>
    </row>
    <row r="377" spans="5:9" x14ac:dyDescent="0.3">
      <c r="E377" s="4"/>
      <c r="F377" s="6"/>
      <c r="I377" s="6"/>
    </row>
    <row r="378" spans="5:9" x14ac:dyDescent="0.3">
      <c r="E378" s="4"/>
      <c r="F378" s="6"/>
      <c r="I378" s="6"/>
    </row>
    <row r="379" spans="5:9" x14ac:dyDescent="0.3">
      <c r="E379" s="4"/>
      <c r="F379" s="6"/>
      <c r="I379" s="6"/>
    </row>
    <row r="380" spans="5:9" x14ac:dyDescent="0.3">
      <c r="E380" s="4"/>
      <c r="F380" s="6"/>
      <c r="I380" s="6"/>
    </row>
    <row r="381" spans="5:9" x14ac:dyDescent="0.3">
      <c r="E381" s="4"/>
      <c r="F381" s="6"/>
      <c r="I381" s="6"/>
    </row>
    <row r="382" spans="5:9" x14ac:dyDescent="0.3">
      <c r="E382" s="4"/>
      <c r="F382" s="6"/>
      <c r="I382" s="6"/>
    </row>
    <row r="383" spans="5:9" x14ac:dyDescent="0.3">
      <c r="E383" s="4"/>
      <c r="F383" s="6"/>
      <c r="I383" s="6"/>
    </row>
    <row r="384" spans="5:9" x14ac:dyDescent="0.3">
      <c r="E384" s="4"/>
      <c r="F384" s="6"/>
      <c r="I384" s="6"/>
    </row>
    <row r="385" spans="5:9" x14ac:dyDescent="0.3">
      <c r="E385" s="4"/>
      <c r="F385" s="6"/>
      <c r="I385" s="6"/>
    </row>
    <row r="386" spans="5:9" x14ac:dyDescent="0.3">
      <c r="E386" s="4"/>
      <c r="F386" s="6"/>
      <c r="I386" s="6"/>
    </row>
    <row r="387" spans="5:9" x14ac:dyDescent="0.3">
      <c r="E387" s="4"/>
      <c r="F387" s="6"/>
      <c r="I387" s="6"/>
    </row>
    <row r="388" spans="5:9" x14ac:dyDescent="0.3">
      <c r="E388" s="4"/>
      <c r="F388" s="6"/>
      <c r="I388" s="6"/>
    </row>
    <row r="389" spans="5:9" x14ac:dyDescent="0.3">
      <c r="E389" s="4"/>
      <c r="F389" s="6"/>
      <c r="I389" s="6"/>
    </row>
    <row r="390" spans="5:9" x14ac:dyDescent="0.3">
      <c r="E390" s="4"/>
      <c r="F390" s="6"/>
      <c r="I390" s="6"/>
    </row>
    <row r="391" spans="5:9" x14ac:dyDescent="0.3">
      <c r="E391" s="4"/>
      <c r="F391" s="6"/>
      <c r="I391" s="6"/>
    </row>
    <row r="392" spans="5:9" x14ac:dyDescent="0.3">
      <c r="E392" s="4"/>
      <c r="F392" s="6"/>
      <c r="I392" s="6"/>
    </row>
    <row r="393" spans="5:9" x14ac:dyDescent="0.3">
      <c r="E393" s="4"/>
      <c r="F393" s="6"/>
      <c r="I393" s="6"/>
    </row>
    <row r="394" spans="5:9" x14ac:dyDescent="0.3">
      <c r="E394" s="4"/>
      <c r="F394" s="6"/>
      <c r="I394" s="6"/>
    </row>
    <row r="395" spans="5:9" x14ac:dyDescent="0.3">
      <c r="E395" s="4"/>
      <c r="F395" s="6"/>
      <c r="I395" s="6"/>
    </row>
    <row r="396" spans="5:9" x14ac:dyDescent="0.3">
      <c r="E396" s="4"/>
      <c r="F396" s="6"/>
      <c r="I396" s="6"/>
    </row>
    <row r="397" spans="5:9" x14ac:dyDescent="0.3">
      <c r="E397" s="4"/>
      <c r="F397" s="6"/>
      <c r="I397" s="6"/>
    </row>
    <row r="398" spans="5:9" x14ac:dyDescent="0.3">
      <c r="E398" s="4"/>
      <c r="F398" s="6"/>
      <c r="I398" s="6"/>
    </row>
    <row r="399" spans="5:9" x14ac:dyDescent="0.3">
      <c r="E399" s="4"/>
      <c r="F399" s="6"/>
      <c r="I399" s="6"/>
    </row>
    <row r="400" spans="5:9" x14ac:dyDescent="0.3">
      <c r="E400" s="4"/>
      <c r="F400" s="6"/>
      <c r="I400" s="6"/>
    </row>
    <row r="401" spans="5:9" x14ac:dyDescent="0.3">
      <c r="E401" s="4"/>
      <c r="F401" s="6"/>
      <c r="I401" s="6"/>
    </row>
    <row r="402" spans="5:9" x14ac:dyDescent="0.3">
      <c r="E402" s="4"/>
      <c r="F402" s="6"/>
      <c r="I402" s="6"/>
    </row>
    <row r="403" spans="5:9" x14ac:dyDescent="0.3">
      <c r="E403" s="4"/>
      <c r="F403" s="6"/>
      <c r="I403" s="6"/>
    </row>
    <row r="404" spans="5:9" x14ac:dyDescent="0.3">
      <c r="E404" s="4"/>
      <c r="F404" s="6"/>
      <c r="I404" s="6"/>
    </row>
    <row r="405" spans="5:9" x14ac:dyDescent="0.3">
      <c r="E405" s="4"/>
      <c r="F405" s="6"/>
      <c r="I405" s="6"/>
    </row>
    <row r="406" spans="5:9" x14ac:dyDescent="0.3">
      <c r="E406" s="4"/>
      <c r="F406" s="6"/>
      <c r="I406" s="6"/>
    </row>
    <row r="407" spans="5:9" x14ac:dyDescent="0.3">
      <c r="E407" s="4"/>
      <c r="F407" s="6"/>
      <c r="I407" s="6"/>
    </row>
    <row r="408" spans="5:9" x14ac:dyDescent="0.3">
      <c r="E408" s="4"/>
      <c r="F408" s="6"/>
      <c r="I408" s="6"/>
    </row>
    <row r="409" spans="5:9" x14ac:dyDescent="0.3">
      <c r="E409" s="4"/>
      <c r="F409" s="6"/>
      <c r="I409" s="6"/>
    </row>
    <row r="410" spans="5:9" x14ac:dyDescent="0.3">
      <c r="E410" s="4"/>
      <c r="F410" s="6"/>
      <c r="I410" s="6"/>
    </row>
    <row r="411" spans="5:9" x14ac:dyDescent="0.3">
      <c r="E411" s="4"/>
      <c r="F411" s="6"/>
      <c r="I411" s="6"/>
    </row>
    <row r="412" spans="5:9" x14ac:dyDescent="0.3">
      <c r="E412" s="4"/>
      <c r="F412" s="6"/>
      <c r="I412" s="6"/>
    </row>
    <row r="413" spans="5:9" x14ac:dyDescent="0.3">
      <c r="E413" s="4"/>
      <c r="F413" s="6"/>
      <c r="I413" s="6"/>
    </row>
    <row r="414" spans="5:9" x14ac:dyDescent="0.3">
      <c r="E414" s="4"/>
      <c r="F414" s="6"/>
      <c r="I414" s="6"/>
    </row>
    <row r="415" spans="5:9" x14ac:dyDescent="0.3">
      <c r="E415" s="4"/>
      <c r="F415" s="6"/>
      <c r="I415" s="6"/>
    </row>
    <row r="416" spans="5:9" x14ac:dyDescent="0.3">
      <c r="E416" s="4"/>
      <c r="F416" s="6"/>
      <c r="I416" s="6"/>
    </row>
    <row r="417" spans="5:9" x14ac:dyDescent="0.3">
      <c r="E417" s="4"/>
      <c r="F417" s="6"/>
      <c r="I417" s="6"/>
    </row>
    <row r="418" spans="5:9" x14ac:dyDescent="0.3">
      <c r="E418" s="4"/>
      <c r="F418" s="6"/>
      <c r="I418" s="6"/>
    </row>
    <row r="419" spans="5:9" x14ac:dyDescent="0.3">
      <c r="E419" s="4"/>
      <c r="F419" s="6"/>
      <c r="I419" s="6"/>
    </row>
    <row r="420" spans="5:9" x14ac:dyDescent="0.3">
      <c r="E420" s="4"/>
      <c r="F420" s="6"/>
      <c r="I420" s="6"/>
    </row>
    <row r="421" spans="5:9" x14ac:dyDescent="0.3">
      <c r="E421" s="4"/>
      <c r="F421" s="6"/>
      <c r="I421" s="6"/>
    </row>
    <row r="422" spans="5:9" x14ac:dyDescent="0.3">
      <c r="E422" s="4"/>
      <c r="F422" s="6"/>
      <c r="I422" s="6"/>
    </row>
    <row r="423" spans="5:9" x14ac:dyDescent="0.3">
      <c r="E423" s="4"/>
      <c r="F423" s="6"/>
      <c r="I423" s="6"/>
    </row>
    <row r="424" spans="5:9" x14ac:dyDescent="0.3">
      <c r="E424" s="4"/>
      <c r="F424" s="6"/>
      <c r="I424" s="6"/>
    </row>
    <row r="425" spans="5:9" x14ac:dyDescent="0.3">
      <c r="E425" s="4"/>
      <c r="F425" s="6"/>
      <c r="I425" s="6"/>
    </row>
    <row r="426" spans="5:9" x14ac:dyDescent="0.3">
      <c r="E426" s="4"/>
      <c r="F426" s="6"/>
      <c r="I426" s="6"/>
    </row>
    <row r="427" spans="5:9" x14ac:dyDescent="0.3">
      <c r="E427" s="4"/>
      <c r="F427" s="6"/>
      <c r="I427" s="6"/>
    </row>
    <row r="428" spans="5:9" x14ac:dyDescent="0.3">
      <c r="E428" s="4"/>
      <c r="F428" s="6"/>
      <c r="I428" s="6"/>
    </row>
    <row r="429" spans="5:9" x14ac:dyDescent="0.3">
      <c r="E429" s="4"/>
      <c r="F429" s="6"/>
      <c r="I429" s="6"/>
    </row>
    <row r="430" spans="5:9" x14ac:dyDescent="0.3">
      <c r="E430" s="4"/>
      <c r="F430" s="6"/>
      <c r="I430" s="6"/>
    </row>
    <row r="431" spans="5:9" x14ac:dyDescent="0.3">
      <c r="E431" s="4"/>
      <c r="F431" s="6"/>
      <c r="I431" s="6"/>
    </row>
    <row r="432" spans="5:9" x14ac:dyDescent="0.3">
      <c r="E432" s="4"/>
      <c r="F432" s="6"/>
      <c r="I432" s="6"/>
    </row>
    <row r="433" spans="5:9" x14ac:dyDescent="0.3">
      <c r="E433" s="4"/>
      <c r="F433" s="6"/>
      <c r="I433" s="6"/>
    </row>
    <row r="434" spans="5:9" x14ac:dyDescent="0.3">
      <c r="E434" s="4"/>
      <c r="F434" s="6"/>
      <c r="I434" s="6"/>
    </row>
    <row r="435" spans="5:9" x14ac:dyDescent="0.3">
      <c r="E435" s="4"/>
      <c r="F435" s="6"/>
      <c r="I435" s="6"/>
    </row>
    <row r="436" spans="5:9" x14ac:dyDescent="0.3">
      <c r="E436" s="4"/>
      <c r="F436" s="6"/>
      <c r="I436" s="6"/>
    </row>
    <row r="437" spans="5:9" x14ac:dyDescent="0.3">
      <c r="E437" s="4"/>
      <c r="F437" s="6"/>
      <c r="I437" s="6"/>
    </row>
    <row r="438" spans="5:9" x14ac:dyDescent="0.3">
      <c r="E438" s="4"/>
      <c r="F438" s="6"/>
      <c r="I438" s="6"/>
    </row>
    <row r="439" spans="5:9" x14ac:dyDescent="0.3">
      <c r="E439" s="4"/>
      <c r="F439" s="6"/>
      <c r="I439" s="6"/>
    </row>
    <row r="440" spans="5:9" x14ac:dyDescent="0.3">
      <c r="E440" s="4"/>
      <c r="F440" s="6"/>
      <c r="I440" s="6"/>
    </row>
    <row r="441" spans="5:9" x14ac:dyDescent="0.3">
      <c r="E441" s="4"/>
      <c r="F441" s="6"/>
      <c r="I441" s="6"/>
    </row>
    <row r="442" spans="5:9" x14ac:dyDescent="0.3">
      <c r="E442" s="4"/>
      <c r="F442" s="6"/>
      <c r="I442" s="6"/>
    </row>
    <row r="443" spans="5:9" x14ac:dyDescent="0.3">
      <c r="E443" s="4"/>
      <c r="F443" s="6"/>
      <c r="I443" s="6"/>
    </row>
    <row r="444" spans="5:9" x14ac:dyDescent="0.3">
      <c r="E444" s="4"/>
      <c r="F444" s="6"/>
      <c r="I444" s="6"/>
    </row>
    <row r="445" spans="5:9" x14ac:dyDescent="0.3">
      <c r="E445" s="4"/>
      <c r="F445" s="6"/>
      <c r="I445" s="6"/>
    </row>
    <row r="446" spans="5:9" x14ac:dyDescent="0.3">
      <c r="E446" s="4"/>
      <c r="F446" s="6"/>
      <c r="I446" s="6"/>
    </row>
    <row r="447" spans="5:9" x14ac:dyDescent="0.3">
      <c r="E447" s="4"/>
      <c r="F447" s="6"/>
      <c r="I447" s="6"/>
    </row>
    <row r="448" spans="5:9" x14ac:dyDescent="0.3">
      <c r="E448" s="4"/>
      <c r="F448" s="6"/>
      <c r="I448" s="6"/>
    </row>
    <row r="449" spans="5:9" x14ac:dyDescent="0.3">
      <c r="E449" s="4"/>
      <c r="F449" s="6"/>
      <c r="I449" s="6"/>
    </row>
    <row r="450" spans="5:9" x14ac:dyDescent="0.3">
      <c r="E450" s="4"/>
      <c r="F450" s="6"/>
      <c r="I450" s="6"/>
    </row>
    <row r="451" spans="5:9" x14ac:dyDescent="0.3">
      <c r="E451" s="4"/>
      <c r="F451" s="6"/>
      <c r="I451" s="6"/>
    </row>
    <row r="452" spans="5:9" x14ac:dyDescent="0.3">
      <c r="E452" s="4"/>
      <c r="F452" s="6"/>
      <c r="I452" s="6"/>
    </row>
    <row r="453" spans="5:9" x14ac:dyDescent="0.3">
      <c r="E453" s="4"/>
      <c r="F453" s="6"/>
      <c r="I453" s="6"/>
    </row>
    <row r="454" spans="5:9" x14ac:dyDescent="0.3">
      <c r="E454" s="4"/>
      <c r="F454" s="6"/>
      <c r="I454" s="6"/>
    </row>
    <row r="455" spans="5:9" x14ac:dyDescent="0.3">
      <c r="E455" s="4"/>
      <c r="F455" s="6"/>
      <c r="I455" s="6"/>
    </row>
    <row r="456" spans="5:9" x14ac:dyDescent="0.3">
      <c r="E456" s="4"/>
      <c r="F456" s="6"/>
      <c r="I456" s="6"/>
    </row>
    <row r="457" spans="5:9" x14ac:dyDescent="0.3">
      <c r="E457" s="4"/>
      <c r="F457" s="6"/>
      <c r="I457" s="6"/>
    </row>
    <row r="458" spans="5:9" x14ac:dyDescent="0.3">
      <c r="E458" s="4"/>
      <c r="F458" s="6"/>
      <c r="I458" s="6"/>
    </row>
    <row r="459" spans="5:9" x14ac:dyDescent="0.3">
      <c r="E459" s="4"/>
      <c r="F459" s="6"/>
      <c r="I459" s="6"/>
    </row>
    <row r="460" spans="5:9" x14ac:dyDescent="0.3">
      <c r="E460" s="4"/>
      <c r="F460" s="6"/>
      <c r="I460" s="6"/>
    </row>
    <row r="461" spans="5:9" x14ac:dyDescent="0.3">
      <c r="E461" s="4"/>
      <c r="F461" s="6"/>
      <c r="I461" s="6"/>
    </row>
    <row r="462" spans="5:9" x14ac:dyDescent="0.3">
      <c r="E462" s="4"/>
      <c r="F462" s="6"/>
      <c r="I462" s="6"/>
    </row>
    <row r="463" spans="5:9" x14ac:dyDescent="0.3">
      <c r="E463" s="4"/>
      <c r="F463" s="6"/>
      <c r="I463" s="6"/>
    </row>
    <row r="464" spans="5:9" x14ac:dyDescent="0.3">
      <c r="E464" s="4"/>
      <c r="F464" s="6"/>
      <c r="I464" s="6"/>
    </row>
    <row r="465" spans="5:9" x14ac:dyDescent="0.3">
      <c r="E465" s="4"/>
      <c r="F465" s="6"/>
      <c r="I465" s="6"/>
    </row>
    <row r="466" spans="5:9" x14ac:dyDescent="0.3">
      <c r="E466" s="4"/>
      <c r="F466" s="6"/>
      <c r="I466" s="6"/>
    </row>
    <row r="467" spans="5:9" x14ac:dyDescent="0.3">
      <c r="E467" s="4"/>
      <c r="F467" s="6"/>
      <c r="I467" s="6"/>
    </row>
    <row r="468" spans="5:9" x14ac:dyDescent="0.3">
      <c r="E468" s="4"/>
      <c r="F468" s="6"/>
      <c r="I468" s="6"/>
    </row>
    <row r="469" spans="5:9" x14ac:dyDescent="0.3">
      <c r="E469" s="4"/>
      <c r="F469" s="6"/>
      <c r="I469" s="6"/>
    </row>
    <row r="470" spans="5:9" x14ac:dyDescent="0.3">
      <c r="E470" s="4"/>
      <c r="F470" s="6"/>
      <c r="I470" s="6"/>
    </row>
    <row r="471" spans="5:9" x14ac:dyDescent="0.3">
      <c r="E471" s="4"/>
      <c r="F471" s="6"/>
      <c r="I471" s="6"/>
    </row>
    <row r="472" spans="5:9" x14ac:dyDescent="0.3">
      <c r="E472" s="4"/>
      <c r="F472" s="6"/>
      <c r="I472" s="6"/>
    </row>
    <row r="473" spans="5:9" x14ac:dyDescent="0.3">
      <c r="E473" s="4"/>
      <c r="F473" s="6"/>
      <c r="I473" s="6"/>
    </row>
    <row r="474" spans="5:9" x14ac:dyDescent="0.3">
      <c r="E474" s="4"/>
      <c r="F474" s="6"/>
      <c r="I474" s="6"/>
    </row>
    <row r="475" spans="5:9" x14ac:dyDescent="0.3">
      <c r="E475" s="4"/>
      <c r="F475" s="6"/>
      <c r="I475" s="6"/>
    </row>
    <row r="476" spans="5:9" x14ac:dyDescent="0.3">
      <c r="E476" s="4"/>
      <c r="F476" s="6"/>
      <c r="I476" s="6"/>
    </row>
    <row r="477" spans="5:9" x14ac:dyDescent="0.3">
      <c r="E477" s="4"/>
      <c r="F477" s="6"/>
      <c r="I477" s="6"/>
    </row>
    <row r="478" spans="5:9" x14ac:dyDescent="0.3">
      <c r="E478" s="4"/>
      <c r="F478" s="6"/>
      <c r="I478" s="6"/>
    </row>
    <row r="479" spans="5:9" x14ac:dyDescent="0.3">
      <c r="E479" s="4"/>
      <c r="F479" s="6"/>
      <c r="I479" s="6"/>
    </row>
    <row r="480" spans="5:9" x14ac:dyDescent="0.3">
      <c r="E480" s="4"/>
      <c r="F480" s="6"/>
      <c r="I480" s="6"/>
    </row>
    <row r="481" spans="5:9" x14ac:dyDescent="0.3">
      <c r="E481" s="4"/>
      <c r="F481" s="6"/>
      <c r="I481" s="6"/>
    </row>
    <row r="482" spans="5:9" x14ac:dyDescent="0.3">
      <c r="E482" s="4"/>
      <c r="F482" s="6"/>
      <c r="I482" s="6"/>
    </row>
    <row r="483" spans="5:9" x14ac:dyDescent="0.3">
      <c r="E483" s="4"/>
      <c r="F483" s="6"/>
      <c r="I483" s="6"/>
    </row>
    <row r="484" spans="5:9" x14ac:dyDescent="0.3">
      <c r="E484" s="4"/>
      <c r="F484" s="6"/>
      <c r="I484" s="6"/>
    </row>
    <row r="485" spans="5:9" x14ac:dyDescent="0.3">
      <c r="E485" s="4"/>
      <c r="F485" s="6"/>
      <c r="I485" s="6"/>
    </row>
    <row r="486" spans="5:9" x14ac:dyDescent="0.3">
      <c r="E486" s="4"/>
      <c r="F486" s="6"/>
      <c r="I486" s="6"/>
    </row>
    <row r="487" spans="5:9" x14ac:dyDescent="0.3">
      <c r="E487" s="4"/>
      <c r="F487" s="6"/>
      <c r="I487" s="6"/>
    </row>
    <row r="488" spans="5:9" x14ac:dyDescent="0.3">
      <c r="E488" s="4"/>
      <c r="F488" s="6"/>
      <c r="I488" s="6"/>
    </row>
    <row r="489" spans="5:9" x14ac:dyDescent="0.3">
      <c r="E489" s="4"/>
      <c r="F489" s="6"/>
      <c r="I489" s="6"/>
    </row>
    <row r="490" spans="5:9" x14ac:dyDescent="0.3">
      <c r="E490" s="4"/>
      <c r="F490" s="6"/>
      <c r="I490" s="6"/>
    </row>
    <row r="491" spans="5:9" x14ac:dyDescent="0.3">
      <c r="E491" s="4"/>
      <c r="F491" s="6"/>
      <c r="I491" s="6"/>
    </row>
    <row r="492" spans="5:9" x14ac:dyDescent="0.3">
      <c r="E492" s="4"/>
      <c r="F492" s="6"/>
      <c r="I492" s="6"/>
    </row>
    <row r="493" spans="5:9" x14ac:dyDescent="0.3">
      <c r="E493" s="4"/>
      <c r="F493" s="6"/>
      <c r="I493" s="6"/>
    </row>
    <row r="494" spans="5:9" x14ac:dyDescent="0.3">
      <c r="E494" s="4"/>
      <c r="F494" s="6"/>
      <c r="I494" s="6"/>
    </row>
    <row r="495" spans="5:9" x14ac:dyDescent="0.3">
      <c r="E495" s="4"/>
      <c r="F495" s="6"/>
      <c r="I495" s="6"/>
    </row>
    <row r="496" spans="5:9" x14ac:dyDescent="0.3">
      <c r="E496" s="4"/>
      <c r="F496" s="6"/>
      <c r="I496" s="6"/>
    </row>
    <row r="497" spans="5:9" x14ac:dyDescent="0.3">
      <c r="E497" s="4"/>
      <c r="F497" s="6"/>
      <c r="I497" s="6"/>
    </row>
    <row r="498" spans="5:9" x14ac:dyDescent="0.3">
      <c r="E498" s="4"/>
      <c r="F498" s="6"/>
      <c r="I498" s="6"/>
    </row>
    <row r="499" spans="5:9" x14ac:dyDescent="0.3">
      <c r="E499" s="4"/>
      <c r="F499" s="6"/>
      <c r="I499" s="6"/>
    </row>
    <row r="500" spans="5:9" x14ac:dyDescent="0.3">
      <c r="E500" s="4"/>
      <c r="F500" s="6"/>
      <c r="I500" s="6"/>
    </row>
    <row r="501" spans="5:9" x14ac:dyDescent="0.3">
      <c r="E501" s="4"/>
      <c r="F501" s="6"/>
      <c r="I501" s="6"/>
    </row>
    <row r="502" spans="5:9" x14ac:dyDescent="0.3">
      <c r="E502" s="4"/>
      <c r="F502" s="6"/>
      <c r="I502" s="6"/>
    </row>
    <row r="503" spans="5:9" x14ac:dyDescent="0.3">
      <c r="E503" s="4"/>
      <c r="F503" s="6"/>
      <c r="I503" s="6"/>
    </row>
    <row r="504" spans="5:9" x14ac:dyDescent="0.3">
      <c r="E504" s="4"/>
      <c r="F504" s="6"/>
      <c r="I504" s="6"/>
    </row>
    <row r="505" spans="5:9" x14ac:dyDescent="0.3">
      <c r="E505" s="4"/>
      <c r="F505" s="6"/>
      <c r="I505" s="6"/>
    </row>
    <row r="506" spans="5:9" x14ac:dyDescent="0.3">
      <c r="E506" s="4"/>
      <c r="F506" s="6"/>
      <c r="I506" s="6"/>
    </row>
    <row r="507" spans="5:9" x14ac:dyDescent="0.3">
      <c r="E507" s="4"/>
      <c r="F507" s="6"/>
      <c r="I507" s="6"/>
    </row>
    <row r="508" spans="5:9" x14ac:dyDescent="0.3">
      <c r="E508" s="4"/>
      <c r="F508" s="6"/>
      <c r="I508" s="6"/>
    </row>
    <row r="509" spans="5:9" x14ac:dyDescent="0.3">
      <c r="E509" s="4"/>
      <c r="F509" s="6"/>
      <c r="I509" s="6"/>
    </row>
    <row r="510" spans="5:9" x14ac:dyDescent="0.3">
      <c r="E510" s="4"/>
      <c r="F510" s="6"/>
      <c r="I510" s="6"/>
    </row>
    <row r="511" spans="5:9" x14ac:dyDescent="0.3">
      <c r="E511" s="4"/>
      <c r="F511" s="6"/>
      <c r="I511" s="6"/>
    </row>
    <row r="512" spans="5:9" x14ac:dyDescent="0.3">
      <c r="E512" s="4"/>
      <c r="F512" s="6"/>
      <c r="I512" s="6"/>
    </row>
    <row r="513" spans="5:9" x14ac:dyDescent="0.3">
      <c r="E513" s="4"/>
      <c r="F513" s="6"/>
      <c r="I513" s="6"/>
    </row>
    <row r="514" spans="5:9" x14ac:dyDescent="0.3">
      <c r="E514" s="4"/>
      <c r="F514" s="6"/>
      <c r="I514" s="6"/>
    </row>
    <row r="515" spans="5:9" x14ac:dyDescent="0.3">
      <c r="E515" s="4"/>
      <c r="F515" s="6"/>
      <c r="I515" s="6"/>
    </row>
    <row r="516" spans="5:9" x14ac:dyDescent="0.3">
      <c r="E516" s="4"/>
      <c r="F516" s="6"/>
      <c r="I516" s="6"/>
    </row>
    <row r="517" spans="5:9" x14ac:dyDescent="0.3">
      <c r="E517" s="4"/>
      <c r="F517" s="6"/>
      <c r="I517" s="6"/>
    </row>
    <row r="518" spans="5:9" x14ac:dyDescent="0.3">
      <c r="E518" s="4"/>
      <c r="F518" s="6"/>
      <c r="I518" s="6"/>
    </row>
    <row r="519" spans="5:9" x14ac:dyDescent="0.3">
      <c r="E519" s="4"/>
      <c r="F519" s="6"/>
      <c r="I519" s="6"/>
    </row>
    <row r="520" spans="5:9" x14ac:dyDescent="0.3">
      <c r="E520" s="4"/>
      <c r="F520" s="6"/>
      <c r="I520" s="6"/>
    </row>
    <row r="521" spans="5:9" x14ac:dyDescent="0.3">
      <c r="E521" s="4"/>
      <c r="F521" s="6"/>
      <c r="I521" s="6"/>
    </row>
    <row r="522" spans="5:9" x14ac:dyDescent="0.3">
      <c r="E522" s="4"/>
      <c r="F522" s="6"/>
      <c r="I522" s="6"/>
    </row>
    <row r="523" spans="5:9" x14ac:dyDescent="0.3">
      <c r="E523" s="4"/>
      <c r="F523" s="6"/>
      <c r="I523" s="6"/>
    </row>
    <row r="524" spans="5:9" x14ac:dyDescent="0.3">
      <c r="E524" s="4"/>
      <c r="F524" s="6"/>
      <c r="I524" s="6"/>
    </row>
    <row r="525" spans="5:9" x14ac:dyDescent="0.3">
      <c r="E525" s="4"/>
      <c r="F525" s="6"/>
      <c r="I525" s="6"/>
    </row>
    <row r="526" spans="5:9" x14ac:dyDescent="0.3">
      <c r="E526" s="4"/>
      <c r="F526" s="6"/>
      <c r="I526" s="6"/>
    </row>
    <row r="527" spans="5:9" x14ac:dyDescent="0.3">
      <c r="E527" s="4"/>
      <c r="F527" s="6"/>
      <c r="I527" s="6"/>
    </row>
    <row r="528" spans="5:9" x14ac:dyDescent="0.3">
      <c r="E528" s="4"/>
      <c r="F528" s="6"/>
      <c r="I528" s="6"/>
    </row>
    <row r="529" spans="5:9" x14ac:dyDescent="0.3">
      <c r="E529" s="4"/>
      <c r="F529" s="6"/>
      <c r="I529" s="6"/>
    </row>
    <row r="530" spans="5:9" x14ac:dyDescent="0.3">
      <c r="E530" s="4"/>
      <c r="F530" s="6"/>
      <c r="I530" s="6"/>
    </row>
    <row r="531" spans="5:9" x14ac:dyDescent="0.3">
      <c r="E531" s="4"/>
      <c r="F531" s="6"/>
      <c r="I531" s="6"/>
    </row>
    <row r="532" spans="5:9" x14ac:dyDescent="0.3">
      <c r="E532" s="4"/>
      <c r="F532" s="6"/>
      <c r="I532" s="6"/>
    </row>
    <row r="533" spans="5:9" x14ac:dyDescent="0.3">
      <c r="E533" s="4"/>
      <c r="F533" s="6"/>
      <c r="I533" s="6"/>
    </row>
    <row r="534" spans="5:9" x14ac:dyDescent="0.3">
      <c r="E534" s="4"/>
      <c r="F534" s="6"/>
      <c r="I534" s="6"/>
    </row>
    <row r="535" spans="5:9" x14ac:dyDescent="0.3">
      <c r="E535" s="4"/>
      <c r="F535" s="6"/>
      <c r="I535" s="6"/>
    </row>
    <row r="536" spans="5:9" x14ac:dyDescent="0.3">
      <c r="E536" s="4"/>
      <c r="F536" s="6"/>
      <c r="I536" s="6"/>
    </row>
    <row r="537" spans="5:9" x14ac:dyDescent="0.3">
      <c r="E537" s="4"/>
      <c r="F537" s="6"/>
      <c r="I537" s="6"/>
    </row>
    <row r="538" spans="5:9" x14ac:dyDescent="0.3">
      <c r="E538" s="4"/>
      <c r="F538" s="6"/>
      <c r="I538" s="6"/>
    </row>
    <row r="539" spans="5:9" x14ac:dyDescent="0.3">
      <c r="E539" s="4"/>
      <c r="F539" s="6"/>
      <c r="I539" s="6"/>
    </row>
    <row r="540" spans="5:9" x14ac:dyDescent="0.3">
      <c r="E540" s="4"/>
      <c r="F540" s="6"/>
      <c r="I540" s="6"/>
    </row>
    <row r="541" spans="5:9" x14ac:dyDescent="0.3">
      <c r="E541" s="4"/>
      <c r="F541" s="6"/>
      <c r="I541" s="6"/>
    </row>
    <row r="542" spans="5:9" x14ac:dyDescent="0.3">
      <c r="E542" s="4"/>
      <c r="F542" s="6"/>
      <c r="I542" s="6"/>
    </row>
    <row r="543" spans="5:9" x14ac:dyDescent="0.3">
      <c r="E543" s="4"/>
      <c r="F543" s="6"/>
      <c r="I543" s="6"/>
    </row>
    <row r="544" spans="5:9" x14ac:dyDescent="0.3">
      <c r="E544" s="4"/>
      <c r="F544" s="6"/>
      <c r="I544" s="6"/>
    </row>
    <row r="545" spans="5:9" x14ac:dyDescent="0.3">
      <c r="E545" s="4"/>
      <c r="F545" s="6"/>
      <c r="I545" s="6"/>
    </row>
    <row r="546" spans="5:9" x14ac:dyDescent="0.3">
      <c r="E546" s="4"/>
      <c r="F546" s="6"/>
      <c r="I546" s="6"/>
    </row>
    <row r="547" spans="5:9" x14ac:dyDescent="0.3">
      <c r="E547" s="4"/>
      <c r="F547" s="6"/>
      <c r="I547" s="6"/>
    </row>
    <row r="548" spans="5:9" x14ac:dyDescent="0.3">
      <c r="E548" s="4"/>
      <c r="F548" s="6"/>
      <c r="I548" s="6"/>
    </row>
    <row r="549" spans="5:9" x14ac:dyDescent="0.3">
      <c r="E549" s="4"/>
      <c r="F549" s="6"/>
      <c r="I549" s="6"/>
    </row>
    <row r="550" spans="5:9" x14ac:dyDescent="0.3">
      <c r="E550" s="4"/>
      <c r="F550" s="6"/>
      <c r="I550" s="6"/>
    </row>
    <row r="551" spans="5:9" x14ac:dyDescent="0.3">
      <c r="E551" s="4"/>
      <c r="F551" s="6"/>
      <c r="I551" s="6"/>
    </row>
    <row r="552" spans="5:9" x14ac:dyDescent="0.3">
      <c r="E552" s="4"/>
      <c r="F552" s="6"/>
      <c r="I552" s="6"/>
    </row>
    <row r="553" spans="5:9" x14ac:dyDescent="0.3">
      <c r="E553" s="4"/>
      <c r="F553" s="6"/>
      <c r="I553" s="6"/>
    </row>
    <row r="554" spans="5:9" x14ac:dyDescent="0.3">
      <c r="E554" s="4"/>
      <c r="F554" s="6"/>
      <c r="I554" s="6"/>
    </row>
    <row r="555" spans="5:9" x14ac:dyDescent="0.3">
      <c r="E555" s="4"/>
      <c r="F555" s="6"/>
      <c r="I555" s="6"/>
    </row>
    <row r="556" spans="5:9" x14ac:dyDescent="0.3">
      <c r="E556" s="4"/>
      <c r="F556" s="6"/>
      <c r="I556" s="6"/>
    </row>
    <row r="557" spans="5:9" x14ac:dyDescent="0.3">
      <c r="E557" s="4"/>
      <c r="F557" s="6"/>
      <c r="I557" s="6"/>
    </row>
    <row r="558" spans="5:9" x14ac:dyDescent="0.3">
      <c r="E558" s="4"/>
      <c r="F558" s="6"/>
      <c r="I558" s="6"/>
    </row>
    <row r="559" spans="5:9" x14ac:dyDescent="0.3">
      <c r="E559" s="4"/>
      <c r="F559" s="6"/>
      <c r="I559" s="6"/>
    </row>
    <row r="560" spans="5:9" x14ac:dyDescent="0.3">
      <c r="E560" s="4"/>
      <c r="F560" s="6"/>
      <c r="I560" s="6"/>
    </row>
    <row r="561" spans="5:9" x14ac:dyDescent="0.3">
      <c r="E561" s="4"/>
      <c r="F561" s="6"/>
      <c r="I561" s="6"/>
    </row>
    <row r="562" spans="5:9" x14ac:dyDescent="0.3">
      <c r="E562" s="4"/>
      <c r="F562" s="6"/>
      <c r="I562" s="6"/>
    </row>
    <row r="563" spans="5:9" x14ac:dyDescent="0.3">
      <c r="E563" s="4"/>
      <c r="F563" s="6"/>
      <c r="I563" s="6"/>
    </row>
    <row r="564" spans="5:9" x14ac:dyDescent="0.3">
      <c r="E564" s="4"/>
      <c r="F564" s="6"/>
      <c r="I564" s="6"/>
    </row>
    <row r="565" spans="5:9" x14ac:dyDescent="0.3">
      <c r="E565" s="4"/>
      <c r="F565" s="6"/>
      <c r="I565" s="6"/>
    </row>
    <row r="566" spans="5:9" x14ac:dyDescent="0.3">
      <c r="E566" s="4"/>
      <c r="F566" s="6"/>
      <c r="I566" s="6"/>
    </row>
    <row r="567" spans="5:9" x14ac:dyDescent="0.3">
      <c r="E567" s="4"/>
      <c r="F567" s="6"/>
      <c r="I567" s="6"/>
    </row>
    <row r="568" spans="5:9" x14ac:dyDescent="0.3">
      <c r="E568" s="4"/>
      <c r="F568" s="6"/>
      <c r="I568" s="6"/>
    </row>
    <row r="569" spans="5:9" x14ac:dyDescent="0.3">
      <c r="E569" s="4"/>
      <c r="F569" s="6"/>
      <c r="I569" s="6"/>
    </row>
    <row r="570" spans="5:9" x14ac:dyDescent="0.3">
      <c r="E570" s="4"/>
      <c r="F570" s="6"/>
      <c r="I570" s="6"/>
    </row>
    <row r="571" spans="5:9" x14ac:dyDescent="0.3">
      <c r="E571" s="4"/>
      <c r="F571" s="6"/>
      <c r="I571" s="6"/>
    </row>
    <row r="572" spans="5:9" x14ac:dyDescent="0.3">
      <c r="E572" s="4"/>
      <c r="F572" s="6"/>
      <c r="I572" s="6"/>
    </row>
    <row r="573" spans="5:9" x14ac:dyDescent="0.3">
      <c r="E573" s="4"/>
      <c r="F573" s="6"/>
      <c r="I573" s="6"/>
    </row>
    <row r="574" spans="5:9" x14ac:dyDescent="0.3">
      <c r="E574" s="4"/>
      <c r="F574" s="6"/>
      <c r="I574" s="6"/>
    </row>
    <row r="575" spans="5:9" x14ac:dyDescent="0.3">
      <c r="E575" s="4"/>
      <c r="F575" s="6"/>
      <c r="I575" s="6"/>
    </row>
    <row r="576" spans="5:9" x14ac:dyDescent="0.3">
      <c r="E576" s="4"/>
      <c r="F576" s="6"/>
      <c r="I576" s="6"/>
    </row>
    <row r="577" spans="5:9" x14ac:dyDescent="0.3">
      <c r="E577" s="4"/>
      <c r="F577" s="6"/>
      <c r="I577" s="6"/>
    </row>
    <row r="578" spans="5:9" x14ac:dyDescent="0.3">
      <c r="E578" s="4"/>
      <c r="F578" s="6"/>
      <c r="I578" s="6"/>
    </row>
    <row r="579" spans="5:9" x14ac:dyDescent="0.3">
      <c r="E579" s="4"/>
      <c r="F579" s="6"/>
      <c r="I579" s="6"/>
    </row>
    <row r="580" spans="5:9" x14ac:dyDescent="0.3">
      <c r="E580" s="4"/>
      <c r="F580" s="6"/>
      <c r="I580" s="6"/>
    </row>
    <row r="581" spans="5:9" x14ac:dyDescent="0.3">
      <c r="E581" s="4"/>
      <c r="F581" s="6"/>
      <c r="I581" s="6"/>
    </row>
    <row r="582" spans="5:9" x14ac:dyDescent="0.3">
      <c r="E582" s="4"/>
      <c r="F582" s="6"/>
      <c r="I582" s="6"/>
    </row>
    <row r="583" spans="5:9" x14ac:dyDescent="0.3">
      <c r="E583" s="4"/>
      <c r="F583" s="6"/>
      <c r="I583" s="6"/>
    </row>
    <row r="584" spans="5:9" x14ac:dyDescent="0.3">
      <c r="E584" s="4"/>
      <c r="F584" s="6"/>
      <c r="I584" s="6"/>
    </row>
    <row r="585" spans="5:9" x14ac:dyDescent="0.3">
      <c r="E585" s="4"/>
      <c r="F585" s="6"/>
      <c r="I585" s="6"/>
    </row>
    <row r="586" spans="5:9" x14ac:dyDescent="0.3">
      <c r="E586" s="4"/>
      <c r="F586" s="6"/>
      <c r="I586" s="6"/>
    </row>
    <row r="587" spans="5:9" x14ac:dyDescent="0.3">
      <c r="E587" s="4"/>
      <c r="F587" s="6"/>
      <c r="I587" s="6"/>
    </row>
    <row r="588" spans="5:9" x14ac:dyDescent="0.3">
      <c r="E588" s="4"/>
      <c r="F588" s="6"/>
      <c r="I588" s="6"/>
    </row>
    <row r="589" spans="5:9" x14ac:dyDescent="0.3">
      <c r="E589" s="4"/>
      <c r="F589" s="6"/>
      <c r="I589" s="6"/>
    </row>
    <row r="590" spans="5:9" x14ac:dyDescent="0.3">
      <c r="E590" s="4"/>
      <c r="F590" s="6"/>
      <c r="I590" s="6"/>
    </row>
    <row r="591" spans="5:9" x14ac:dyDescent="0.3">
      <c r="E591" s="4"/>
      <c r="F591" s="6"/>
      <c r="I591" s="6"/>
    </row>
    <row r="592" spans="5:9" x14ac:dyDescent="0.3">
      <c r="E592" s="4"/>
      <c r="F592" s="6"/>
      <c r="I592" s="6"/>
    </row>
    <row r="593" spans="5:9" x14ac:dyDescent="0.3">
      <c r="E593" s="4"/>
      <c r="F593" s="6"/>
      <c r="I593" s="6"/>
    </row>
    <row r="594" spans="5:9" x14ac:dyDescent="0.3">
      <c r="E594" s="4"/>
      <c r="F594" s="6"/>
      <c r="I594" s="6"/>
    </row>
    <row r="595" spans="5:9" x14ac:dyDescent="0.3">
      <c r="E595" s="4"/>
      <c r="F595" s="6"/>
      <c r="I595" s="6"/>
    </row>
    <row r="596" spans="5:9" x14ac:dyDescent="0.3">
      <c r="E596" s="4"/>
      <c r="F596" s="6"/>
      <c r="I596" s="6"/>
    </row>
    <row r="597" spans="5:9" x14ac:dyDescent="0.3">
      <c r="E597" s="4"/>
      <c r="F597" s="6"/>
      <c r="I597" s="6"/>
    </row>
    <row r="598" spans="5:9" x14ac:dyDescent="0.3">
      <c r="E598" s="4"/>
      <c r="F598" s="6"/>
      <c r="I598" s="6"/>
    </row>
    <row r="599" spans="5:9" x14ac:dyDescent="0.3">
      <c r="E599" s="4"/>
      <c r="F599" s="6"/>
      <c r="I599" s="6"/>
    </row>
    <row r="600" spans="5:9" x14ac:dyDescent="0.3">
      <c r="E600" s="4"/>
      <c r="F600" s="6"/>
      <c r="I600" s="6"/>
    </row>
    <row r="601" spans="5:9" x14ac:dyDescent="0.3">
      <c r="E601" s="4"/>
      <c r="F601" s="6"/>
      <c r="I601" s="6"/>
    </row>
    <row r="602" spans="5:9" x14ac:dyDescent="0.3">
      <c r="E602" s="4"/>
      <c r="F602" s="6"/>
      <c r="I60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4A59E-5985-41DF-A05A-BD2A7FE3C281}">
  <dimension ref="A1:N602"/>
  <sheetViews>
    <sheetView topLeftCell="A109" zoomScale="50" workbookViewId="0">
      <selection activeCell="Q15" sqref="Q15"/>
    </sheetView>
  </sheetViews>
  <sheetFormatPr defaultRowHeight="14.4" x14ac:dyDescent="0.3"/>
  <cols>
    <col min="1" max="1" width="14" customWidth="1"/>
    <col min="2" max="2" width="13.77734375" customWidth="1"/>
    <col min="3" max="3" width="17.88671875" customWidth="1"/>
    <col min="4" max="4" width="17.21875" customWidth="1"/>
    <col min="5" max="5" width="31.77734375" customWidth="1"/>
    <col min="6" max="6" width="26.33203125" customWidth="1"/>
    <col min="7" max="7" width="15" customWidth="1"/>
    <col min="8" max="8" width="18.109375" customWidth="1"/>
    <col min="9" max="9" width="25.5546875" customWidth="1"/>
    <col min="10" max="10" width="14.6640625" customWidth="1"/>
    <col min="11" max="11" width="14" customWidth="1"/>
    <col min="12" max="12" width="16.6640625" customWidth="1"/>
    <col min="13" max="13" width="30.88671875" customWidth="1"/>
    <col min="14" max="14" width="28" customWidth="1"/>
  </cols>
  <sheetData>
    <row r="1" spans="1:14" x14ac:dyDescent="0.3">
      <c r="A1" s="12" t="s">
        <v>0</v>
      </c>
      <c r="B1" s="12" t="s">
        <v>1</v>
      </c>
      <c r="C1" s="13" t="s">
        <v>2</v>
      </c>
      <c r="D1" s="12" t="s">
        <v>3</v>
      </c>
      <c r="E1" s="14" t="s">
        <v>4</v>
      </c>
      <c r="F1" s="14" t="s">
        <v>5</v>
      </c>
      <c r="G1" s="12" t="s">
        <v>6</v>
      </c>
      <c r="H1" s="12" t="s">
        <v>7</v>
      </c>
      <c r="I1" s="14" t="s">
        <v>8</v>
      </c>
      <c r="J1" s="14" t="s">
        <v>9</v>
      </c>
      <c r="K1" s="15" t="s">
        <v>10</v>
      </c>
      <c r="L1" s="14" t="s">
        <v>11</v>
      </c>
      <c r="M1" s="12" t="s">
        <v>12</v>
      </c>
      <c r="N1" s="12" t="s">
        <v>513</v>
      </c>
    </row>
    <row r="2" spans="1:14" x14ac:dyDescent="0.3">
      <c r="A2" s="4" t="s">
        <v>13</v>
      </c>
      <c r="B2" s="4" t="s">
        <v>14</v>
      </c>
      <c r="C2" s="5" t="s">
        <v>15</v>
      </c>
      <c r="D2" s="4" t="s">
        <v>16</v>
      </c>
      <c r="E2" s="6" t="s">
        <v>17</v>
      </c>
      <c r="F2" s="6" t="s">
        <v>18</v>
      </c>
      <c r="G2" s="4">
        <v>24516</v>
      </c>
      <c r="H2" s="4">
        <v>976</v>
      </c>
      <c r="I2" s="6">
        <v>974</v>
      </c>
      <c r="J2" s="6">
        <v>2675</v>
      </c>
      <c r="K2" s="7">
        <v>23275</v>
      </c>
      <c r="L2" s="6">
        <v>202932</v>
      </c>
      <c r="M2" s="4" t="s">
        <v>19</v>
      </c>
      <c r="N2" s="6">
        <f>(G2+H2+I2)/L2*100</f>
        <v>13.041807107799658</v>
      </c>
    </row>
    <row r="3" spans="1:14" x14ac:dyDescent="0.3">
      <c r="A3" s="4" t="s">
        <v>20</v>
      </c>
      <c r="B3" s="4" t="s">
        <v>21</v>
      </c>
      <c r="C3" s="5">
        <v>45903</v>
      </c>
      <c r="D3" s="4" t="s">
        <v>16</v>
      </c>
      <c r="E3" s="6" t="s">
        <v>22</v>
      </c>
      <c r="F3" s="6" t="s">
        <v>23</v>
      </c>
      <c r="G3" s="4">
        <v>4779</v>
      </c>
      <c r="H3" s="4">
        <v>1110</v>
      </c>
      <c r="I3" s="6">
        <v>436</v>
      </c>
      <c r="J3" s="6">
        <v>1574</v>
      </c>
      <c r="K3" s="7">
        <v>77167</v>
      </c>
      <c r="L3" s="6">
        <v>71585</v>
      </c>
      <c r="M3" s="4" t="s">
        <v>24</v>
      </c>
      <c r="N3" s="6">
        <f t="shared" ref="N3:N66" si="0">(G3+H3+I3)/L3*100</f>
        <v>8.8356499266606132</v>
      </c>
    </row>
    <row r="4" spans="1:14" x14ac:dyDescent="0.3">
      <c r="A4" s="4" t="s">
        <v>25</v>
      </c>
      <c r="B4" s="4" t="s">
        <v>26</v>
      </c>
      <c r="C4" s="5" t="s">
        <v>27</v>
      </c>
      <c r="D4" s="4" t="s">
        <v>28</v>
      </c>
      <c r="E4" s="6" t="s">
        <v>29</v>
      </c>
      <c r="F4" s="6" t="s">
        <v>30</v>
      </c>
      <c r="G4" s="4">
        <v>19308</v>
      </c>
      <c r="H4" s="4">
        <v>1318</v>
      </c>
      <c r="I4" s="6">
        <v>795</v>
      </c>
      <c r="J4" s="6">
        <v>1499</v>
      </c>
      <c r="K4" s="7">
        <v>52307</v>
      </c>
      <c r="L4" s="6">
        <v>193087</v>
      </c>
      <c r="M4" s="4" t="s">
        <v>31</v>
      </c>
      <c r="N4" s="6">
        <f t="shared" si="0"/>
        <v>11.093962825047775</v>
      </c>
    </row>
    <row r="5" spans="1:14" x14ac:dyDescent="0.3">
      <c r="A5" s="4" t="s">
        <v>32</v>
      </c>
      <c r="B5" s="4" t="s">
        <v>14</v>
      </c>
      <c r="C5" s="5" t="s">
        <v>33</v>
      </c>
      <c r="D5" s="4" t="s">
        <v>34</v>
      </c>
      <c r="E5" s="6" t="s">
        <v>35</v>
      </c>
      <c r="F5" s="6" t="s">
        <v>36</v>
      </c>
      <c r="G5" s="4">
        <v>3581</v>
      </c>
      <c r="H5" s="4">
        <v>517</v>
      </c>
      <c r="I5" s="6">
        <v>880</v>
      </c>
      <c r="J5" s="6">
        <v>1925</v>
      </c>
      <c r="K5" s="7">
        <v>18636</v>
      </c>
      <c r="L5" s="6">
        <v>248611</v>
      </c>
      <c r="M5" s="4" t="s">
        <v>37</v>
      </c>
      <c r="N5" s="6">
        <f t="shared" si="0"/>
        <v>2.0023249172401862</v>
      </c>
    </row>
    <row r="6" spans="1:14" x14ac:dyDescent="0.3">
      <c r="A6" s="4" t="s">
        <v>38</v>
      </c>
      <c r="B6" s="4" t="s">
        <v>14</v>
      </c>
      <c r="C6" s="5">
        <v>45904</v>
      </c>
      <c r="D6" s="4" t="s">
        <v>34</v>
      </c>
      <c r="E6" s="6" t="s">
        <v>17</v>
      </c>
      <c r="F6" s="6" t="s">
        <v>18</v>
      </c>
      <c r="G6" s="4">
        <v>21708</v>
      </c>
      <c r="H6" s="4">
        <v>435</v>
      </c>
      <c r="I6" s="6">
        <v>317</v>
      </c>
      <c r="J6" s="6">
        <v>1213</v>
      </c>
      <c r="K6" s="7">
        <v>70701</v>
      </c>
      <c r="L6" s="6">
        <v>83585</v>
      </c>
      <c r="M6" s="4" t="s">
        <v>24</v>
      </c>
      <c r="N6" s="6">
        <f t="shared" si="0"/>
        <v>26.870850032900641</v>
      </c>
    </row>
    <row r="7" spans="1:14" x14ac:dyDescent="0.3">
      <c r="A7" s="4" t="s">
        <v>39</v>
      </c>
      <c r="B7" s="4" t="s">
        <v>21</v>
      </c>
      <c r="C7" s="5">
        <v>45905</v>
      </c>
      <c r="D7" s="4" t="s">
        <v>16</v>
      </c>
      <c r="E7" s="6" t="s">
        <v>40</v>
      </c>
      <c r="F7" s="6"/>
      <c r="G7" s="4">
        <v>14677</v>
      </c>
      <c r="H7" s="4">
        <v>533</v>
      </c>
      <c r="I7" s="6">
        <v>759</v>
      </c>
      <c r="J7" s="6">
        <v>753</v>
      </c>
      <c r="K7" s="7">
        <v>23275</v>
      </c>
      <c r="L7" s="6">
        <v>66958</v>
      </c>
      <c r="M7" s="4" t="s">
        <v>24</v>
      </c>
      <c r="N7" s="6">
        <f t="shared" si="0"/>
        <v>23.849278652289495</v>
      </c>
    </row>
    <row r="8" spans="1:14" x14ac:dyDescent="0.3">
      <c r="A8" s="4" t="s">
        <v>41</v>
      </c>
      <c r="B8" s="4" t="s">
        <v>26</v>
      </c>
      <c r="C8" s="5" t="s">
        <v>42</v>
      </c>
      <c r="D8" s="4" t="s">
        <v>43</v>
      </c>
      <c r="E8" s="6" t="s">
        <v>44</v>
      </c>
      <c r="F8" s="6" t="s">
        <v>45</v>
      </c>
      <c r="G8" s="4">
        <v>7713</v>
      </c>
      <c r="H8" s="4">
        <v>575</v>
      </c>
      <c r="I8" s="6">
        <v>417</v>
      </c>
      <c r="J8" s="6">
        <v>336</v>
      </c>
      <c r="K8" s="7">
        <v>61660</v>
      </c>
      <c r="L8" s="6">
        <v>66017</v>
      </c>
      <c r="M8" s="4" t="s">
        <v>37</v>
      </c>
      <c r="N8" s="6">
        <f t="shared" si="0"/>
        <v>13.185997546086615</v>
      </c>
    </row>
    <row r="9" spans="1:14" x14ac:dyDescent="0.3">
      <c r="A9" s="4" t="s">
        <v>46</v>
      </c>
      <c r="B9" s="4" t="s">
        <v>26</v>
      </c>
      <c r="C9" s="5" t="s">
        <v>47</v>
      </c>
      <c r="D9" s="4" t="s">
        <v>34</v>
      </c>
      <c r="E9" s="6" t="s">
        <v>48</v>
      </c>
      <c r="F9" s="6" t="s">
        <v>49</v>
      </c>
      <c r="G9" s="4">
        <v>18639</v>
      </c>
      <c r="H9" s="4">
        <v>1360</v>
      </c>
      <c r="I9" s="6">
        <v>898</v>
      </c>
      <c r="J9" s="6">
        <v>2011</v>
      </c>
      <c r="K9" s="7">
        <v>42841</v>
      </c>
      <c r="L9" s="6">
        <v>247779</v>
      </c>
      <c r="M9" s="4" t="s">
        <v>37</v>
      </c>
      <c r="N9" s="6">
        <f t="shared" si="0"/>
        <v>8.4337252148083568</v>
      </c>
    </row>
    <row r="10" spans="1:14" x14ac:dyDescent="0.3">
      <c r="A10" s="4" t="s">
        <v>50</v>
      </c>
      <c r="B10" s="4" t="s">
        <v>14</v>
      </c>
      <c r="C10" s="5" t="s">
        <v>51</v>
      </c>
      <c r="D10" s="4" t="s">
        <v>43</v>
      </c>
      <c r="E10" s="6" t="s">
        <v>22</v>
      </c>
      <c r="F10" s="6" t="s">
        <v>23</v>
      </c>
      <c r="G10" s="4">
        <v>6804</v>
      </c>
      <c r="H10" s="4">
        <v>787</v>
      </c>
      <c r="I10" s="6">
        <v>970</v>
      </c>
      <c r="J10" s="6">
        <v>1095</v>
      </c>
      <c r="K10" s="7">
        <v>56343</v>
      </c>
      <c r="L10" s="6">
        <v>164677</v>
      </c>
      <c r="M10" s="4" t="s">
        <v>19</v>
      </c>
      <c r="N10" s="6">
        <f t="shared" si="0"/>
        <v>5.1986616224487934</v>
      </c>
    </row>
    <row r="11" spans="1:14" x14ac:dyDescent="0.3">
      <c r="A11" s="4" t="s">
        <v>52</v>
      </c>
      <c r="B11" s="4" t="s">
        <v>53</v>
      </c>
      <c r="C11" s="5" t="s">
        <v>54</v>
      </c>
      <c r="D11" s="4" t="s">
        <v>34</v>
      </c>
      <c r="E11" s="6" t="s">
        <v>55</v>
      </c>
      <c r="F11" s="6" t="s">
        <v>56</v>
      </c>
      <c r="G11" s="4">
        <v>20222</v>
      </c>
      <c r="H11" s="4">
        <v>712</v>
      </c>
      <c r="I11" s="6">
        <v>604</v>
      </c>
      <c r="J11" s="6">
        <v>1272</v>
      </c>
      <c r="K11" s="7">
        <v>71598</v>
      </c>
      <c r="L11" s="6">
        <v>216422</v>
      </c>
      <c r="M11" s="4" t="s">
        <v>31</v>
      </c>
      <c r="N11" s="6">
        <f t="shared" si="0"/>
        <v>9.9518533235992646</v>
      </c>
    </row>
    <row r="12" spans="1:14" x14ac:dyDescent="0.3">
      <c r="A12" s="4" t="s">
        <v>57</v>
      </c>
      <c r="B12" s="4" t="s">
        <v>14</v>
      </c>
      <c r="C12" s="5" t="s">
        <v>58</v>
      </c>
      <c r="D12" s="4" t="s">
        <v>43</v>
      </c>
      <c r="E12" s="6" t="s">
        <v>35</v>
      </c>
      <c r="F12" s="6" t="s">
        <v>36</v>
      </c>
      <c r="G12" s="4">
        <v>12136</v>
      </c>
      <c r="H12" s="4">
        <v>1117</v>
      </c>
      <c r="I12" s="6">
        <v>834</v>
      </c>
      <c r="J12" s="6">
        <v>892</v>
      </c>
      <c r="K12" s="7">
        <v>24675</v>
      </c>
      <c r="L12" s="6">
        <v>183273</v>
      </c>
      <c r="M12" s="4" t="s">
        <v>31</v>
      </c>
      <c r="N12" s="6">
        <f t="shared" si="0"/>
        <v>7.6863476889667322</v>
      </c>
    </row>
    <row r="13" spans="1:14" x14ac:dyDescent="0.3">
      <c r="A13" s="4" t="s">
        <v>59</v>
      </c>
      <c r="B13" s="4" t="s">
        <v>14</v>
      </c>
      <c r="C13" s="5" t="s">
        <v>60</v>
      </c>
      <c r="D13" s="4" t="s">
        <v>28</v>
      </c>
      <c r="E13" s="6" t="s">
        <v>22</v>
      </c>
      <c r="F13" s="6" t="s">
        <v>23</v>
      </c>
      <c r="G13" s="4">
        <v>2009</v>
      </c>
      <c r="H13" s="4">
        <v>1072</v>
      </c>
      <c r="I13" s="6">
        <v>550</v>
      </c>
      <c r="J13" s="6">
        <v>1437</v>
      </c>
      <c r="K13" s="7">
        <v>22982</v>
      </c>
      <c r="L13" s="6">
        <v>69426</v>
      </c>
      <c r="M13" s="4" t="s">
        <v>37</v>
      </c>
      <c r="N13" s="6">
        <f t="shared" si="0"/>
        <v>5.2300290957278257</v>
      </c>
    </row>
    <row r="14" spans="1:14" x14ac:dyDescent="0.3">
      <c r="A14" s="4" t="s">
        <v>61</v>
      </c>
      <c r="B14" s="4" t="s">
        <v>14</v>
      </c>
      <c r="C14" s="5" t="s">
        <v>62</v>
      </c>
      <c r="D14" s="4" t="s">
        <v>43</v>
      </c>
      <c r="E14" s="6" t="s">
        <v>44</v>
      </c>
      <c r="F14" s="6" t="s">
        <v>45</v>
      </c>
      <c r="G14" s="4">
        <v>21255</v>
      </c>
      <c r="H14" s="4">
        <v>1452</v>
      </c>
      <c r="I14" s="6">
        <v>625</v>
      </c>
      <c r="J14" s="6">
        <v>1624</v>
      </c>
      <c r="K14" s="7">
        <v>21282</v>
      </c>
      <c r="L14" s="6">
        <v>57778</v>
      </c>
      <c r="M14" s="4" t="s">
        <v>63</v>
      </c>
      <c r="N14" s="6">
        <f t="shared" si="0"/>
        <v>40.382152376337018</v>
      </c>
    </row>
    <row r="15" spans="1:14" x14ac:dyDescent="0.3">
      <c r="A15" s="4" t="s">
        <v>64</v>
      </c>
      <c r="B15" s="4" t="s">
        <v>14</v>
      </c>
      <c r="C15" s="5">
        <v>45906</v>
      </c>
      <c r="D15" s="4" t="s">
        <v>28</v>
      </c>
      <c r="E15" s="6" t="s">
        <v>48</v>
      </c>
      <c r="F15" s="6" t="s">
        <v>49</v>
      </c>
      <c r="G15" s="4">
        <v>7124</v>
      </c>
      <c r="H15" s="4">
        <v>469</v>
      </c>
      <c r="I15" s="6">
        <v>851</v>
      </c>
      <c r="J15" s="6">
        <v>2571</v>
      </c>
      <c r="K15" s="7">
        <v>33802</v>
      </c>
      <c r="L15" s="6">
        <v>216313</v>
      </c>
      <c r="M15" s="4" t="s">
        <v>24</v>
      </c>
      <c r="N15" s="6">
        <f t="shared" si="0"/>
        <v>3.903602649863855</v>
      </c>
    </row>
    <row r="16" spans="1:14" x14ac:dyDescent="0.3">
      <c r="A16" s="4" t="s">
        <v>65</v>
      </c>
      <c r="B16" s="4" t="s">
        <v>21</v>
      </c>
      <c r="C16" s="5">
        <v>45907</v>
      </c>
      <c r="D16" s="4" t="s">
        <v>28</v>
      </c>
      <c r="E16" s="6" t="s">
        <v>29</v>
      </c>
      <c r="F16" s="6" t="s">
        <v>30</v>
      </c>
      <c r="G16" s="4">
        <v>3015</v>
      </c>
      <c r="H16" s="4">
        <v>997</v>
      </c>
      <c r="I16" s="6">
        <v>783</v>
      </c>
      <c r="J16" s="6">
        <v>617</v>
      </c>
      <c r="K16" s="7">
        <v>77167</v>
      </c>
      <c r="L16" s="6">
        <v>82229</v>
      </c>
      <c r="M16" s="4" t="s">
        <v>24</v>
      </c>
      <c r="N16" s="6">
        <f t="shared" si="0"/>
        <v>5.8312760704860818</v>
      </c>
    </row>
    <row r="17" spans="1:14" x14ac:dyDescent="0.3">
      <c r="A17" s="4" t="s">
        <v>66</v>
      </c>
      <c r="B17" s="4" t="s">
        <v>26</v>
      </c>
      <c r="C17" s="5" t="s">
        <v>67</v>
      </c>
      <c r="D17" s="4" t="s">
        <v>43</v>
      </c>
      <c r="E17" s="6" t="s">
        <v>48</v>
      </c>
      <c r="F17" s="6" t="s">
        <v>49</v>
      </c>
      <c r="G17" s="4">
        <v>4193</v>
      </c>
      <c r="H17" s="4">
        <v>924</v>
      </c>
      <c r="I17" s="6">
        <v>707</v>
      </c>
      <c r="J17" s="6">
        <v>2696</v>
      </c>
      <c r="K17" s="7">
        <v>55075</v>
      </c>
      <c r="L17" s="6">
        <v>126652</v>
      </c>
      <c r="M17" s="4" t="s">
        <v>37</v>
      </c>
      <c r="N17" s="6">
        <f t="shared" si="0"/>
        <v>4.5984271863057824</v>
      </c>
    </row>
    <row r="18" spans="1:14" x14ac:dyDescent="0.3">
      <c r="A18" s="4" t="s">
        <v>68</v>
      </c>
      <c r="B18" s="4" t="s">
        <v>21</v>
      </c>
      <c r="C18" s="5" t="s">
        <v>69</v>
      </c>
      <c r="D18" s="4" t="s">
        <v>28</v>
      </c>
      <c r="E18" s="6" t="s">
        <v>35</v>
      </c>
      <c r="F18" s="6" t="s">
        <v>70</v>
      </c>
      <c r="G18" s="4">
        <v>10415</v>
      </c>
      <c r="H18" s="4">
        <v>1388</v>
      </c>
      <c r="I18" s="6">
        <v>725</v>
      </c>
      <c r="J18" s="6">
        <v>2462</v>
      </c>
      <c r="K18" s="7">
        <v>53082</v>
      </c>
      <c r="L18" s="6">
        <v>168267</v>
      </c>
      <c r="M18" s="4" t="s">
        <v>63</v>
      </c>
      <c r="N18" s="6">
        <f t="shared" si="0"/>
        <v>7.4453101321114659</v>
      </c>
    </row>
    <row r="19" spans="1:14" x14ac:dyDescent="0.3">
      <c r="A19" s="4" t="s">
        <v>71</v>
      </c>
      <c r="B19" s="4" t="s">
        <v>21</v>
      </c>
      <c r="C19" s="5" t="s">
        <v>72</v>
      </c>
      <c r="D19" s="4" t="s">
        <v>16</v>
      </c>
      <c r="E19" s="6" t="s">
        <v>48</v>
      </c>
      <c r="F19" s="6" t="s">
        <v>49</v>
      </c>
      <c r="G19" s="4">
        <v>15550</v>
      </c>
      <c r="H19" s="4">
        <v>204</v>
      </c>
      <c r="I19" s="6">
        <v>279</v>
      </c>
      <c r="J19" s="6">
        <v>1646</v>
      </c>
      <c r="K19" s="7">
        <v>35819</v>
      </c>
      <c r="L19" s="6">
        <v>219436</v>
      </c>
      <c r="M19" s="4" t="s">
        <v>19</v>
      </c>
      <c r="N19" s="6">
        <f t="shared" si="0"/>
        <v>7.3064583751070931</v>
      </c>
    </row>
    <row r="20" spans="1:14" x14ac:dyDescent="0.3">
      <c r="A20" s="4" t="s">
        <v>73</v>
      </c>
      <c r="B20" s="4" t="s">
        <v>21</v>
      </c>
      <c r="C20" s="5" t="s">
        <v>74</v>
      </c>
      <c r="D20" s="4" t="s">
        <v>28</v>
      </c>
      <c r="E20" s="6" t="s">
        <v>35</v>
      </c>
      <c r="F20" s="6" t="s">
        <v>70</v>
      </c>
      <c r="G20" s="4">
        <v>16512</v>
      </c>
      <c r="H20" s="4">
        <v>1050</v>
      </c>
      <c r="I20" s="6">
        <v>971</v>
      </c>
      <c r="J20" s="6">
        <v>1891</v>
      </c>
      <c r="K20" s="7">
        <v>15865</v>
      </c>
      <c r="L20" s="6">
        <v>166503</v>
      </c>
      <c r="M20" s="4" t="s">
        <v>37</v>
      </c>
      <c r="N20" s="6">
        <f t="shared" si="0"/>
        <v>11.13073037723044</v>
      </c>
    </row>
    <row r="21" spans="1:14" x14ac:dyDescent="0.3">
      <c r="A21" s="4" t="s">
        <v>75</v>
      </c>
      <c r="B21" s="4" t="s">
        <v>14</v>
      </c>
      <c r="C21" s="5" t="s">
        <v>76</v>
      </c>
      <c r="D21" s="4" t="s">
        <v>34</v>
      </c>
      <c r="E21" s="6" t="s">
        <v>29</v>
      </c>
      <c r="F21" s="6" t="s">
        <v>30</v>
      </c>
      <c r="G21" s="4">
        <v>6158</v>
      </c>
      <c r="H21" s="4">
        <v>277</v>
      </c>
      <c r="I21" s="6">
        <v>512</v>
      </c>
      <c r="J21" s="6">
        <v>2189</v>
      </c>
      <c r="K21" s="7">
        <v>76881</v>
      </c>
      <c r="L21" s="6">
        <v>124878</v>
      </c>
      <c r="M21" s="4" t="s">
        <v>37</v>
      </c>
      <c r="N21" s="6">
        <f t="shared" si="0"/>
        <v>5.5630295168084052</v>
      </c>
    </row>
    <row r="22" spans="1:14" x14ac:dyDescent="0.3">
      <c r="A22" s="4" t="s">
        <v>77</v>
      </c>
      <c r="B22" s="4" t="s">
        <v>53</v>
      </c>
      <c r="C22" s="5">
        <v>45908</v>
      </c>
      <c r="D22" s="4" t="s">
        <v>43</v>
      </c>
      <c r="E22" s="6" t="s">
        <v>78</v>
      </c>
      <c r="F22" s="6" t="s">
        <v>40</v>
      </c>
      <c r="G22" s="4">
        <v>22309</v>
      </c>
      <c r="H22" s="4">
        <v>773</v>
      </c>
      <c r="I22" s="6">
        <v>854</v>
      </c>
      <c r="J22" s="6">
        <v>2387</v>
      </c>
      <c r="K22" s="7">
        <v>72396</v>
      </c>
      <c r="L22" s="6">
        <v>97056</v>
      </c>
      <c r="M22" s="4" t="s">
        <v>24</v>
      </c>
      <c r="N22" s="6">
        <f t="shared" si="0"/>
        <v>24.662050774810417</v>
      </c>
    </row>
    <row r="23" spans="1:14" x14ac:dyDescent="0.3">
      <c r="A23" s="4" t="s">
        <v>79</v>
      </c>
      <c r="B23" s="4" t="s">
        <v>26</v>
      </c>
      <c r="C23" s="5" t="s">
        <v>80</v>
      </c>
      <c r="D23" s="4" t="s">
        <v>16</v>
      </c>
      <c r="E23" s="6" t="s">
        <v>44</v>
      </c>
      <c r="F23" s="6" t="s">
        <v>45</v>
      </c>
      <c r="G23" s="4">
        <v>8970</v>
      </c>
      <c r="H23" s="4">
        <v>331</v>
      </c>
      <c r="I23" s="6">
        <v>968</v>
      </c>
      <c r="J23" s="6">
        <v>2296</v>
      </c>
      <c r="K23" s="7">
        <v>24613</v>
      </c>
      <c r="L23" s="6">
        <v>198562</v>
      </c>
      <c r="M23" s="4" t="s">
        <v>37</v>
      </c>
      <c r="N23" s="6">
        <f t="shared" si="0"/>
        <v>5.1716844109144757</v>
      </c>
    </row>
    <row r="24" spans="1:14" x14ac:dyDescent="0.3">
      <c r="A24" s="4" t="s">
        <v>81</v>
      </c>
      <c r="B24" s="4" t="s">
        <v>53</v>
      </c>
      <c r="C24" s="5" t="s">
        <v>82</v>
      </c>
      <c r="D24" s="4" t="s">
        <v>43</v>
      </c>
      <c r="E24" s="6" t="s">
        <v>35</v>
      </c>
      <c r="F24" s="6" t="s">
        <v>70</v>
      </c>
      <c r="G24" s="4">
        <v>8938</v>
      </c>
      <c r="H24" s="4">
        <v>800</v>
      </c>
      <c r="I24" s="6">
        <v>842</v>
      </c>
      <c r="J24" s="6">
        <v>2072</v>
      </c>
      <c r="K24" s="7">
        <v>31736</v>
      </c>
      <c r="L24" s="6">
        <v>59975</v>
      </c>
      <c r="M24" s="4" t="s">
        <v>37</v>
      </c>
      <c r="N24" s="6">
        <f t="shared" si="0"/>
        <v>17.64068361817424</v>
      </c>
    </row>
    <row r="25" spans="1:14" x14ac:dyDescent="0.3">
      <c r="A25" s="4" t="s">
        <v>83</v>
      </c>
      <c r="B25" s="4" t="s">
        <v>21</v>
      </c>
      <c r="C25" s="5" t="s">
        <v>84</v>
      </c>
      <c r="D25" s="4" t="s">
        <v>34</v>
      </c>
      <c r="E25" s="6" t="s">
        <v>55</v>
      </c>
      <c r="F25" s="6" t="s">
        <v>56</v>
      </c>
      <c r="G25" s="4">
        <v>23168</v>
      </c>
      <c r="H25" s="4">
        <v>1265</v>
      </c>
      <c r="I25" s="6">
        <v>441</v>
      </c>
      <c r="J25" s="6">
        <v>1612</v>
      </c>
      <c r="K25" s="7">
        <v>66615</v>
      </c>
      <c r="L25" s="6">
        <v>197795</v>
      </c>
      <c r="M25" s="4" t="s">
        <v>37</v>
      </c>
      <c r="N25" s="6">
        <f t="shared" si="0"/>
        <v>12.57564650269218</v>
      </c>
    </row>
    <row r="26" spans="1:14" x14ac:dyDescent="0.3">
      <c r="A26" s="4" t="s">
        <v>85</v>
      </c>
      <c r="B26" s="4" t="s">
        <v>21</v>
      </c>
      <c r="C26" s="5">
        <v>45909</v>
      </c>
      <c r="D26" s="4" t="s">
        <v>34</v>
      </c>
      <c r="E26" s="6" t="s">
        <v>48</v>
      </c>
      <c r="F26" s="6" t="s">
        <v>49</v>
      </c>
      <c r="G26" s="4">
        <v>15772</v>
      </c>
      <c r="H26" s="4">
        <v>288</v>
      </c>
      <c r="I26" s="6">
        <v>520</v>
      </c>
      <c r="J26" s="6">
        <v>1585</v>
      </c>
      <c r="K26" s="7">
        <v>59182</v>
      </c>
      <c r="L26" s="6">
        <v>194351</v>
      </c>
      <c r="M26" s="4" t="s">
        <v>24</v>
      </c>
      <c r="N26" s="6">
        <f t="shared" si="0"/>
        <v>8.530956876990599</v>
      </c>
    </row>
    <row r="27" spans="1:14" x14ac:dyDescent="0.3">
      <c r="A27" s="4" t="s">
        <v>86</v>
      </c>
      <c r="B27" s="4" t="s">
        <v>53</v>
      </c>
      <c r="C27" s="5" t="s">
        <v>87</v>
      </c>
      <c r="D27" s="4" t="s">
        <v>34</v>
      </c>
      <c r="E27" s="6" t="s">
        <v>48</v>
      </c>
      <c r="F27" s="6" t="s">
        <v>49</v>
      </c>
      <c r="G27" s="4">
        <v>22384</v>
      </c>
      <c r="H27" s="4">
        <v>601</v>
      </c>
      <c r="I27" s="6">
        <v>943</v>
      </c>
      <c r="J27" s="6">
        <v>515</v>
      </c>
      <c r="K27" s="7">
        <v>41309</v>
      </c>
      <c r="L27" s="6">
        <v>249373</v>
      </c>
      <c r="M27" s="4" t="s">
        <v>19</v>
      </c>
      <c r="N27" s="6">
        <f t="shared" si="0"/>
        <v>9.595264924430472</v>
      </c>
    </row>
    <row r="28" spans="1:14" x14ac:dyDescent="0.3">
      <c r="A28" s="4" t="s">
        <v>88</v>
      </c>
      <c r="B28" s="4" t="s">
        <v>53</v>
      </c>
      <c r="C28" s="5" t="s">
        <v>89</v>
      </c>
      <c r="D28" s="4" t="s">
        <v>28</v>
      </c>
      <c r="E28" s="6" t="s">
        <v>55</v>
      </c>
      <c r="F28" s="6" t="s">
        <v>56</v>
      </c>
      <c r="G28" s="4">
        <v>20017</v>
      </c>
      <c r="H28" s="4">
        <v>495</v>
      </c>
      <c r="I28" s="6">
        <v>178</v>
      </c>
      <c r="J28" s="6">
        <v>2683</v>
      </c>
      <c r="K28" s="7">
        <v>32244</v>
      </c>
      <c r="L28" s="6">
        <v>182633</v>
      </c>
      <c r="M28" s="4" t="s">
        <v>19</v>
      </c>
      <c r="N28" s="6">
        <f>(G28+H28+I28)/L28*100</f>
        <v>11.32873029518214</v>
      </c>
    </row>
    <row r="29" spans="1:14" x14ac:dyDescent="0.3">
      <c r="A29" s="4" t="s">
        <v>90</v>
      </c>
      <c r="B29" s="4" t="s">
        <v>53</v>
      </c>
      <c r="C29" s="5" t="s">
        <v>91</v>
      </c>
      <c r="D29" s="4" t="s">
        <v>28</v>
      </c>
      <c r="E29" s="6" t="s">
        <v>40</v>
      </c>
      <c r="F29" s="6"/>
      <c r="G29" s="4">
        <v>12344</v>
      </c>
      <c r="H29" s="4">
        <v>815</v>
      </c>
      <c r="I29" s="6">
        <v>298</v>
      </c>
      <c r="J29" s="6">
        <v>2439</v>
      </c>
      <c r="K29" s="7">
        <v>6259</v>
      </c>
      <c r="L29" s="6">
        <v>237133</v>
      </c>
      <c r="M29" s="4" t="s">
        <v>37</v>
      </c>
      <c r="N29" s="6">
        <f t="shared" si="0"/>
        <v>5.6748744375519227</v>
      </c>
    </row>
    <row r="30" spans="1:14" x14ac:dyDescent="0.3">
      <c r="A30" s="4" t="s">
        <v>92</v>
      </c>
      <c r="B30" s="4" t="s">
        <v>21</v>
      </c>
      <c r="C30" s="5">
        <v>45910</v>
      </c>
      <c r="D30" s="4" t="s">
        <v>43</v>
      </c>
      <c r="E30" s="6" t="s">
        <v>93</v>
      </c>
      <c r="F30" s="6"/>
      <c r="G30" s="4">
        <v>9266</v>
      </c>
      <c r="H30" s="4">
        <v>999</v>
      </c>
      <c r="I30" s="6">
        <v>928</v>
      </c>
      <c r="J30" s="6">
        <v>2700</v>
      </c>
      <c r="K30" s="7">
        <v>12264</v>
      </c>
      <c r="L30" s="6">
        <v>128397</v>
      </c>
      <c r="M30" s="4" t="s">
        <v>24</v>
      </c>
      <c r="N30" s="6">
        <f t="shared" si="0"/>
        <v>8.7174933993784904</v>
      </c>
    </row>
    <row r="31" spans="1:14" x14ac:dyDescent="0.3">
      <c r="A31" s="4" t="s">
        <v>94</v>
      </c>
      <c r="B31" s="4" t="s">
        <v>21</v>
      </c>
      <c r="C31" s="5" t="s">
        <v>95</v>
      </c>
      <c r="D31" s="4" t="s">
        <v>43</v>
      </c>
      <c r="E31" s="6" t="s">
        <v>78</v>
      </c>
      <c r="F31" s="6" t="s">
        <v>40</v>
      </c>
      <c r="G31" s="4">
        <v>10702</v>
      </c>
      <c r="H31" s="4">
        <v>621</v>
      </c>
      <c r="I31" s="6">
        <v>445</v>
      </c>
      <c r="J31" s="6">
        <v>2918</v>
      </c>
      <c r="K31" s="7">
        <v>54808</v>
      </c>
      <c r="L31" s="6">
        <v>220225</v>
      </c>
      <c r="M31" s="4" t="s">
        <v>19</v>
      </c>
      <c r="N31" s="6">
        <f t="shared" si="0"/>
        <v>5.3436258372119427</v>
      </c>
    </row>
    <row r="32" spans="1:14" x14ac:dyDescent="0.3">
      <c r="A32" s="4" t="s">
        <v>96</v>
      </c>
      <c r="B32" s="4" t="s">
        <v>26</v>
      </c>
      <c r="C32" s="5" t="s">
        <v>97</v>
      </c>
      <c r="D32" s="4" t="s">
        <v>16</v>
      </c>
      <c r="E32" s="6" t="s">
        <v>35</v>
      </c>
      <c r="F32" s="6" t="s">
        <v>36</v>
      </c>
      <c r="G32" s="4">
        <v>2384</v>
      </c>
      <c r="H32" s="4">
        <v>1246</v>
      </c>
      <c r="I32" s="6">
        <v>160</v>
      </c>
      <c r="J32" s="6">
        <v>2004</v>
      </c>
      <c r="K32" s="7">
        <v>2701</v>
      </c>
      <c r="L32" s="6">
        <v>73142</v>
      </c>
      <c r="M32" s="4" t="s">
        <v>19</v>
      </c>
      <c r="N32" s="6">
        <f t="shared" si="0"/>
        <v>5.1817013480626724</v>
      </c>
    </row>
    <row r="33" spans="1:14" x14ac:dyDescent="0.3">
      <c r="A33" s="4" t="s">
        <v>98</v>
      </c>
      <c r="B33" s="4" t="s">
        <v>26</v>
      </c>
      <c r="C33" s="5" t="s">
        <v>99</v>
      </c>
      <c r="D33" s="4" t="s">
        <v>16</v>
      </c>
      <c r="E33" s="6" t="s">
        <v>35</v>
      </c>
      <c r="F33" s="6" t="s">
        <v>70</v>
      </c>
      <c r="G33" s="4">
        <v>2404</v>
      </c>
      <c r="H33" s="4">
        <v>774</v>
      </c>
      <c r="I33" s="6">
        <v>661</v>
      </c>
      <c r="J33" s="6">
        <v>662</v>
      </c>
      <c r="K33" s="7">
        <v>12676</v>
      </c>
      <c r="L33" s="6">
        <v>66916</v>
      </c>
      <c r="M33" s="4" t="s">
        <v>19</v>
      </c>
      <c r="N33" s="6">
        <f t="shared" si="0"/>
        <v>5.7370434574690652</v>
      </c>
    </row>
    <row r="34" spans="1:14" x14ac:dyDescent="0.3">
      <c r="A34" s="4" t="s">
        <v>100</v>
      </c>
      <c r="B34" s="4" t="s">
        <v>21</v>
      </c>
      <c r="C34" s="5">
        <v>45911</v>
      </c>
      <c r="D34" s="4" t="s">
        <v>43</v>
      </c>
      <c r="E34" s="6" t="s">
        <v>55</v>
      </c>
      <c r="F34" s="6" t="s">
        <v>56</v>
      </c>
      <c r="G34" s="4">
        <v>10175</v>
      </c>
      <c r="H34" s="4">
        <v>342</v>
      </c>
      <c r="I34" s="6">
        <v>825</v>
      </c>
      <c r="J34" s="6">
        <v>2904</v>
      </c>
      <c r="K34" s="7">
        <v>15954</v>
      </c>
      <c r="L34" s="6">
        <v>104324</v>
      </c>
      <c r="M34" s="4" t="s">
        <v>24</v>
      </c>
      <c r="N34" s="6">
        <f t="shared" si="0"/>
        <v>10.871899083624093</v>
      </c>
    </row>
    <row r="35" spans="1:14" x14ac:dyDescent="0.3">
      <c r="A35" s="4" t="s">
        <v>101</v>
      </c>
      <c r="B35" s="4" t="s">
        <v>53</v>
      </c>
      <c r="C35" s="5">
        <v>45912</v>
      </c>
      <c r="D35" s="4" t="s">
        <v>28</v>
      </c>
      <c r="E35" s="6" t="s">
        <v>29</v>
      </c>
      <c r="F35" s="6" t="s">
        <v>30</v>
      </c>
      <c r="G35" s="4">
        <v>17158</v>
      </c>
      <c r="H35" s="4">
        <v>1192</v>
      </c>
      <c r="I35" s="6">
        <v>262</v>
      </c>
      <c r="J35" s="6">
        <v>2016</v>
      </c>
      <c r="K35" s="7">
        <v>28771</v>
      </c>
      <c r="L35" s="6">
        <v>216037</v>
      </c>
      <c r="M35" s="4" t="s">
        <v>24</v>
      </c>
      <c r="N35" s="6">
        <f t="shared" si="0"/>
        <v>8.6151909163708069</v>
      </c>
    </row>
    <row r="36" spans="1:14" x14ac:dyDescent="0.3">
      <c r="A36" s="4" t="s">
        <v>102</v>
      </c>
      <c r="B36" s="4" t="s">
        <v>53</v>
      </c>
      <c r="C36" s="5" t="s">
        <v>103</v>
      </c>
      <c r="D36" s="4" t="s">
        <v>34</v>
      </c>
      <c r="E36" s="6" t="s">
        <v>35</v>
      </c>
      <c r="F36" s="6" t="s">
        <v>70</v>
      </c>
      <c r="G36" s="4">
        <v>14763</v>
      </c>
      <c r="H36" s="4">
        <v>864</v>
      </c>
      <c r="I36" s="6">
        <v>336</v>
      </c>
      <c r="J36" s="6">
        <v>1493</v>
      </c>
      <c r="K36" s="7">
        <v>33310</v>
      </c>
      <c r="L36" s="6">
        <v>165932</v>
      </c>
      <c r="M36" s="4" t="s">
        <v>37</v>
      </c>
      <c r="N36" s="6">
        <f t="shared" si="0"/>
        <v>9.6202058674637794</v>
      </c>
    </row>
    <row r="37" spans="1:14" x14ac:dyDescent="0.3">
      <c r="A37" s="4" t="s">
        <v>104</v>
      </c>
      <c r="B37" s="4" t="s">
        <v>26</v>
      </c>
      <c r="C37" s="5" t="s">
        <v>105</v>
      </c>
      <c r="D37" s="4" t="s">
        <v>43</v>
      </c>
      <c r="E37" s="6" t="s">
        <v>93</v>
      </c>
      <c r="F37" s="6"/>
      <c r="G37" s="4">
        <v>20384</v>
      </c>
      <c r="H37" s="4">
        <v>344</v>
      </c>
      <c r="I37" s="6">
        <v>956</v>
      </c>
      <c r="J37" s="6">
        <v>655</v>
      </c>
      <c r="K37" s="7">
        <v>67621</v>
      </c>
      <c r="L37" s="6">
        <v>175720</v>
      </c>
      <c r="M37" s="4" t="s">
        <v>31</v>
      </c>
      <c r="N37" s="6">
        <f t="shared" si="0"/>
        <v>12.340086501251992</v>
      </c>
    </row>
    <row r="38" spans="1:14" x14ac:dyDescent="0.3">
      <c r="A38" s="4" t="s">
        <v>106</v>
      </c>
      <c r="B38" s="4" t="s">
        <v>21</v>
      </c>
      <c r="C38" s="5" t="s">
        <v>107</v>
      </c>
      <c r="D38" s="4" t="s">
        <v>16</v>
      </c>
      <c r="E38" s="6" t="s">
        <v>29</v>
      </c>
      <c r="F38" s="6" t="s">
        <v>30</v>
      </c>
      <c r="G38" s="4">
        <v>11860</v>
      </c>
      <c r="H38" s="4">
        <v>1448</v>
      </c>
      <c r="I38" s="6">
        <v>893</v>
      </c>
      <c r="J38" s="6">
        <v>490</v>
      </c>
      <c r="K38" s="7">
        <v>23518</v>
      </c>
      <c r="L38" s="6">
        <v>206205</v>
      </c>
      <c r="M38" s="4" t="s">
        <v>19</v>
      </c>
      <c r="N38" s="6">
        <f t="shared" si="0"/>
        <v>6.8868359157149435</v>
      </c>
    </row>
    <row r="39" spans="1:14" x14ac:dyDescent="0.3">
      <c r="A39" s="4" t="s">
        <v>108</v>
      </c>
      <c r="B39" s="4" t="s">
        <v>26</v>
      </c>
      <c r="C39" s="5" t="s">
        <v>109</v>
      </c>
      <c r="D39" s="4" t="s">
        <v>28</v>
      </c>
      <c r="E39" s="6" t="s">
        <v>22</v>
      </c>
      <c r="F39" s="6" t="s">
        <v>23</v>
      </c>
      <c r="G39" s="4">
        <v>7989</v>
      </c>
      <c r="H39" s="4">
        <v>1206</v>
      </c>
      <c r="I39" s="6">
        <v>376</v>
      </c>
      <c r="J39" s="6">
        <v>2769</v>
      </c>
      <c r="K39" s="7">
        <v>27550</v>
      </c>
      <c r="L39" s="6">
        <v>221749</v>
      </c>
      <c r="M39" s="4" t="s">
        <v>31</v>
      </c>
      <c r="N39" s="6">
        <f t="shared" si="0"/>
        <v>4.3161412227338118</v>
      </c>
    </row>
    <row r="40" spans="1:14" x14ac:dyDescent="0.3">
      <c r="A40" s="4" t="s">
        <v>110</v>
      </c>
      <c r="B40" s="4" t="s">
        <v>26</v>
      </c>
      <c r="C40" s="5">
        <v>45913</v>
      </c>
      <c r="D40" s="4" t="s">
        <v>43</v>
      </c>
      <c r="E40" s="6" t="s">
        <v>44</v>
      </c>
      <c r="F40" s="6" t="s">
        <v>45</v>
      </c>
      <c r="G40" s="4">
        <v>17106</v>
      </c>
      <c r="H40" s="4">
        <v>702</v>
      </c>
      <c r="I40" s="6">
        <v>459</v>
      </c>
      <c r="J40" s="6">
        <v>999</v>
      </c>
      <c r="K40" s="7">
        <v>59627</v>
      </c>
      <c r="L40" s="6">
        <v>136059</v>
      </c>
      <c r="M40" s="4" t="s">
        <v>24</v>
      </c>
      <c r="N40" s="6">
        <f t="shared" si="0"/>
        <v>13.425793222058077</v>
      </c>
    </row>
    <row r="41" spans="1:14" x14ac:dyDescent="0.3">
      <c r="A41" s="4" t="s">
        <v>111</v>
      </c>
      <c r="B41" s="4" t="s">
        <v>14</v>
      </c>
      <c r="C41" s="5">
        <v>45914</v>
      </c>
      <c r="D41" s="4" t="s">
        <v>43</v>
      </c>
      <c r="E41" s="6" t="s">
        <v>48</v>
      </c>
      <c r="F41" s="6" t="s">
        <v>49</v>
      </c>
      <c r="G41" s="4">
        <v>19844</v>
      </c>
      <c r="H41" s="4">
        <v>1020</v>
      </c>
      <c r="I41" s="6">
        <v>247</v>
      </c>
      <c r="J41" s="6">
        <v>2354</v>
      </c>
      <c r="K41" s="7">
        <v>37792</v>
      </c>
      <c r="L41" s="6">
        <v>138317</v>
      </c>
      <c r="M41" s="4" t="s">
        <v>24</v>
      </c>
      <c r="N41" s="6">
        <f t="shared" si="0"/>
        <v>15.262765965138053</v>
      </c>
    </row>
    <row r="42" spans="1:14" x14ac:dyDescent="0.3">
      <c r="A42" s="4" t="s">
        <v>112</v>
      </c>
      <c r="B42" s="4" t="s">
        <v>14</v>
      </c>
      <c r="C42" s="5">
        <v>45915</v>
      </c>
      <c r="D42" s="4" t="s">
        <v>28</v>
      </c>
      <c r="E42" s="6" t="s">
        <v>22</v>
      </c>
      <c r="F42" s="6" t="s">
        <v>23</v>
      </c>
      <c r="G42" s="4">
        <v>5636</v>
      </c>
      <c r="H42" s="4">
        <v>303</v>
      </c>
      <c r="I42" s="6">
        <v>204</v>
      </c>
      <c r="J42" s="6">
        <v>2480</v>
      </c>
      <c r="K42" s="7">
        <v>7377</v>
      </c>
      <c r="L42" s="6">
        <v>241207</v>
      </c>
      <c r="M42" s="4" t="s">
        <v>24</v>
      </c>
      <c r="N42" s="6">
        <f t="shared" si="0"/>
        <v>2.5467751765081443</v>
      </c>
    </row>
    <row r="43" spans="1:14" x14ac:dyDescent="0.3">
      <c r="A43" s="4" t="s">
        <v>113</v>
      </c>
      <c r="B43" s="4" t="s">
        <v>14</v>
      </c>
      <c r="C43" s="5" t="s">
        <v>114</v>
      </c>
      <c r="D43" s="4" t="s">
        <v>43</v>
      </c>
      <c r="E43" s="6" t="s">
        <v>35</v>
      </c>
      <c r="F43" s="6" t="s">
        <v>70</v>
      </c>
      <c r="G43" s="4">
        <v>12916</v>
      </c>
      <c r="H43" s="4">
        <v>1262</v>
      </c>
      <c r="I43" s="6">
        <v>772</v>
      </c>
      <c r="J43" s="6">
        <v>856</v>
      </c>
      <c r="K43" s="7">
        <v>11496</v>
      </c>
      <c r="L43" s="6">
        <v>75046</v>
      </c>
      <c r="M43" s="4" t="s">
        <v>31</v>
      </c>
      <c r="N43" s="6">
        <f t="shared" si="0"/>
        <v>19.921115049436349</v>
      </c>
    </row>
    <row r="44" spans="1:14" x14ac:dyDescent="0.3">
      <c r="A44" s="4" t="s">
        <v>115</v>
      </c>
      <c r="B44" s="4" t="s">
        <v>53</v>
      </c>
      <c r="C44" s="5">
        <v>45916</v>
      </c>
      <c r="D44" s="4" t="s">
        <v>28</v>
      </c>
      <c r="E44" s="6" t="s">
        <v>93</v>
      </c>
      <c r="F44" s="6"/>
      <c r="G44" s="4">
        <v>6809</v>
      </c>
      <c r="H44" s="4">
        <v>397</v>
      </c>
      <c r="I44" s="6">
        <v>813</v>
      </c>
      <c r="J44" s="6">
        <v>1125</v>
      </c>
      <c r="K44" s="7">
        <v>12206</v>
      </c>
      <c r="L44" s="6">
        <v>218136</v>
      </c>
      <c r="M44" s="4" t="s">
        <v>24</v>
      </c>
      <c r="N44" s="6">
        <f t="shared" si="0"/>
        <v>3.6761469908680824</v>
      </c>
    </row>
    <row r="45" spans="1:14" x14ac:dyDescent="0.3">
      <c r="A45" s="4" t="s">
        <v>116</v>
      </c>
      <c r="B45" s="4" t="s">
        <v>21</v>
      </c>
      <c r="C45" s="5" t="s">
        <v>117</v>
      </c>
      <c r="D45" s="4" t="s">
        <v>34</v>
      </c>
      <c r="E45" s="6" t="s">
        <v>78</v>
      </c>
      <c r="F45" s="6" t="s">
        <v>40</v>
      </c>
      <c r="G45" s="4">
        <v>22562</v>
      </c>
      <c r="H45" s="4">
        <v>778</v>
      </c>
      <c r="I45" s="6">
        <v>907</v>
      </c>
      <c r="J45" s="6">
        <v>1354</v>
      </c>
      <c r="K45" s="7">
        <v>34475</v>
      </c>
      <c r="L45" s="6">
        <v>141459</v>
      </c>
      <c r="M45" s="4" t="s">
        <v>37</v>
      </c>
      <c r="N45" s="6">
        <f t="shared" si="0"/>
        <v>17.140655596321196</v>
      </c>
    </row>
    <row r="46" spans="1:14" x14ac:dyDescent="0.3">
      <c r="A46" s="4" t="s">
        <v>118</v>
      </c>
      <c r="B46" s="4" t="s">
        <v>21</v>
      </c>
      <c r="C46" s="5">
        <v>45917</v>
      </c>
      <c r="D46" s="4" t="s">
        <v>28</v>
      </c>
      <c r="E46" s="6" t="s">
        <v>44</v>
      </c>
      <c r="F46" s="6" t="s">
        <v>45</v>
      </c>
      <c r="G46" s="4">
        <v>15456</v>
      </c>
      <c r="H46" s="4">
        <v>590</v>
      </c>
      <c r="I46" s="6">
        <v>555</v>
      </c>
      <c r="J46" s="6">
        <v>2882</v>
      </c>
      <c r="K46" s="7">
        <v>49816</v>
      </c>
      <c r="L46" s="6">
        <v>240422</v>
      </c>
      <c r="M46" s="4" t="s">
        <v>24</v>
      </c>
      <c r="N46" s="6">
        <f t="shared" si="0"/>
        <v>6.9049421433978591</v>
      </c>
    </row>
    <row r="47" spans="1:14" x14ac:dyDescent="0.3">
      <c r="A47" s="4" t="s">
        <v>119</v>
      </c>
      <c r="B47" s="4" t="s">
        <v>21</v>
      </c>
      <c r="C47" s="5" t="s">
        <v>120</v>
      </c>
      <c r="D47" s="4" t="s">
        <v>28</v>
      </c>
      <c r="E47" s="6" t="s">
        <v>35</v>
      </c>
      <c r="F47" s="6" t="s">
        <v>70</v>
      </c>
      <c r="G47" s="4">
        <v>17444</v>
      </c>
      <c r="H47" s="4">
        <v>1402</v>
      </c>
      <c r="I47" s="6">
        <v>218</v>
      </c>
      <c r="J47" s="6">
        <v>725</v>
      </c>
      <c r="K47" s="7">
        <v>8710</v>
      </c>
      <c r="L47" s="6">
        <v>85893</v>
      </c>
      <c r="M47" s="4" t="s">
        <v>63</v>
      </c>
      <c r="N47" s="6">
        <f t="shared" si="0"/>
        <v>22.195056640238437</v>
      </c>
    </row>
    <row r="48" spans="1:14" x14ac:dyDescent="0.3">
      <c r="A48" s="4" t="s">
        <v>121</v>
      </c>
      <c r="B48" s="4" t="s">
        <v>21</v>
      </c>
      <c r="C48" s="5" t="s">
        <v>122</v>
      </c>
      <c r="D48" s="4" t="s">
        <v>28</v>
      </c>
      <c r="E48" s="6" t="s">
        <v>55</v>
      </c>
      <c r="F48" s="6" t="s">
        <v>56</v>
      </c>
      <c r="G48" s="4">
        <v>24984</v>
      </c>
      <c r="H48" s="4">
        <v>753</v>
      </c>
      <c r="I48" s="6">
        <v>461</v>
      </c>
      <c r="J48" s="6">
        <v>2710</v>
      </c>
      <c r="K48" s="7">
        <v>20792</v>
      </c>
      <c r="L48" s="6">
        <v>141520</v>
      </c>
      <c r="M48" s="4" t="s">
        <v>31</v>
      </c>
      <c r="N48" s="6">
        <f t="shared" si="0"/>
        <v>18.511871113623517</v>
      </c>
    </row>
    <row r="49" spans="1:14" x14ac:dyDescent="0.3">
      <c r="A49" s="4" t="s">
        <v>123</v>
      </c>
      <c r="B49" s="4" t="s">
        <v>14</v>
      </c>
      <c r="C49" s="5" t="s">
        <v>54</v>
      </c>
      <c r="D49" s="4" t="s">
        <v>43</v>
      </c>
      <c r="E49" s="6" t="s">
        <v>17</v>
      </c>
      <c r="F49" s="6" t="s">
        <v>18</v>
      </c>
      <c r="G49" s="4">
        <v>7997</v>
      </c>
      <c r="H49" s="4">
        <v>1238</v>
      </c>
      <c r="I49" s="6">
        <v>438</v>
      </c>
      <c r="J49" s="6">
        <v>1874</v>
      </c>
      <c r="K49" s="7">
        <v>36272</v>
      </c>
      <c r="L49" s="6">
        <v>165818</v>
      </c>
      <c r="M49" s="4" t="s">
        <v>63</v>
      </c>
      <c r="N49" s="6">
        <f t="shared" si="0"/>
        <v>5.8335042034037317</v>
      </c>
    </row>
    <row r="50" spans="1:14" x14ac:dyDescent="0.3">
      <c r="A50" s="4" t="s">
        <v>124</v>
      </c>
      <c r="B50" s="4" t="s">
        <v>53</v>
      </c>
      <c r="C50" s="5">
        <v>45918</v>
      </c>
      <c r="D50" s="4" t="s">
        <v>43</v>
      </c>
      <c r="E50" s="6" t="s">
        <v>35</v>
      </c>
      <c r="F50" s="6" t="s">
        <v>70</v>
      </c>
      <c r="G50" s="4">
        <v>4048</v>
      </c>
      <c r="H50" s="4">
        <v>677</v>
      </c>
      <c r="I50" s="6">
        <v>911</v>
      </c>
      <c r="J50" s="6">
        <v>2429</v>
      </c>
      <c r="K50" s="7">
        <v>27361</v>
      </c>
      <c r="L50" s="6">
        <v>101272</v>
      </c>
      <c r="M50" s="4" t="s">
        <v>24</v>
      </c>
      <c r="N50" s="6">
        <f>(G50+H50+I50)/L50*100</f>
        <v>5.5652105221581483</v>
      </c>
    </row>
    <row r="51" spans="1:14" x14ac:dyDescent="0.3">
      <c r="A51" s="4" t="s">
        <v>125</v>
      </c>
      <c r="B51" s="4" t="s">
        <v>53</v>
      </c>
      <c r="C51" s="5" t="s">
        <v>126</v>
      </c>
      <c r="D51" s="4" t="s">
        <v>28</v>
      </c>
      <c r="E51" s="6" t="s">
        <v>44</v>
      </c>
      <c r="F51" s="6" t="s">
        <v>45</v>
      </c>
      <c r="G51" s="4">
        <v>14338</v>
      </c>
      <c r="H51" s="4">
        <v>1454</v>
      </c>
      <c r="I51" s="6">
        <v>697</v>
      </c>
      <c r="J51" s="6">
        <v>2703</v>
      </c>
      <c r="K51" s="7">
        <v>21288</v>
      </c>
      <c r="L51" s="6">
        <v>107649</v>
      </c>
      <c r="M51" s="4" t="s">
        <v>37</v>
      </c>
      <c r="N51" s="6">
        <f t="shared" si="0"/>
        <v>15.317374058282009</v>
      </c>
    </row>
    <row r="52" spans="1:14" x14ac:dyDescent="0.3">
      <c r="A52" s="4" t="s">
        <v>127</v>
      </c>
      <c r="B52" s="4" t="s">
        <v>14</v>
      </c>
      <c r="C52" s="5" t="s">
        <v>128</v>
      </c>
      <c r="D52" s="4" t="s">
        <v>43</v>
      </c>
      <c r="E52" s="6" t="s">
        <v>48</v>
      </c>
      <c r="F52" s="6" t="s">
        <v>49</v>
      </c>
      <c r="G52" s="4">
        <v>23164</v>
      </c>
      <c r="H52" s="4">
        <v>1122</v>
      </c>
      <c r="I52" s="6">
        <v>900</v>
      </c>
      <c r="J52" s="6">
        <v>888</v>
      </c>
      <c r="K52" s="7">
        <v>36938</v>
      </c>
      <c r="L52" s="6">
        <v>104674</v>
      </c>
      <c r="M52" s="4" t="s">
        <v>19</v>
      </c>
      <c r="N52" s="6">
        <f t="shared" si="0"/>
        <v>24.061371496264595</v>
      </c>
    </row>
    <row r="53" spans="1:14" x14ac:dyDescent="0.3">
      <c r="A53" s="4" t="s">
        <v>129</v>
      </c>
      <c r="B53" s="4" t="s">
        <v>53</v>
      </c>
      <c r="C53" s="5">
        <v>45919</v>
      </c>
      <c r="D53" s="4" t="s">
        <v>16</v>
      </c>
      <c r="E53" s="6" t="s">
        <v>48</v>
      </c>
      <c r="F53" s="6" t="s">
        <v>49</v>
      </c>
      <c r="G53" s="4">
        <v>19100</v>
      </c>
      <c r="H53" s="4">
        <v>619</v>
      </c>
      <c r="I53" s="6">
        <v>297</v>
      </c>
      <c r="J53" s="6">
        <v>2312</v>
      </c>
      <c r="K53" s="7">
        <v>9730</v>
      </c>
      <c r="L53" s="6">
        <v>184832</v>
      </c>
      <c r="M53" s="4" t="s">
        <v>24</v>
      </c>
      <c r="N53" s="6">
        <f t="shared" si="0"/>
        <v>10.829293628808864</v>
      </c>
    </row>
    <row r="54" spans="1:14" x14ac:dyDescent="0.3">
      <c r="A54" s="4" t="s">
        <v>130</v>
      </c>
      <c r="B54" s="4" t="s">
        <v>14</v>
      </c>
      <c r="C54" s="5" t="s">
        <v>122</v>
      </c>
      <c r="D54" s="4" t="s">
        <v>16</v>
      </c>
      <c r="E54" s="6" t="s">
        <v>35</v>
      </c>
      <c r="F54" s="6" t="s">
        <v>70</v>
      </c>
      <c r="G54" s="4">
        <v>23949</v>
      </c>
      <c r="H54" s="4">
        <v>356</v>
      </c>
      <c r="I54" s="6">
        <v>616</v>
      </c>
      <c r="J54" s="6">
        <v>1847</v>
      </c>
      <c r="K54" s="7">
        <v>3144</v>
      </c>
      <c r="L54" s="6">
        <v>192999</v>
      </c>
      <c r="M54" s="4" t="s">
        <v>37</v>
      </c>
      <c r="N54" s="6">
        <f t="shared" si="0"/>
        <v>12.912502137316773</v>
      </c>
    </row>
    <row r="55" spans="1:14" x14ac:dyDescent="0.3">
      <c r="A55" s="4" t="s">
        <v>131</v>
      </c>
      <c r="B55" s="4" t="s">
        <v>21</v>
      </c>
      <c r="C55" s="5" t="s">
        <v>132</v>
      </c>
      <c r="D55" s="4" t="s">
        <v>43</v>
      </c>
      <c r="E55" s="6" t="s">
        <v>29</v>
      </c>
      <c r="F55" s="6" t="s">
        <v>30</v>
      </c>
      <c r="G55" s="4">
        <v>6544</v>
      </c>
      <c r="H55" s="4">
        <v>749</v>
      </c>
      <c r="I55" s="6">
        <v>888</v>
      </c>
      <c r="J55" s="6">
        <v>594</v>
      </c>
      <c r="K55" s="7">
        <v>18171</v>
      </c>
      <c r="L55" s="6">
        <v>126475</v>
      </c>
      <c r="M55" s="4" t="s">
        <v>31</v>
      </c>
      <c r="N55" s="6">
        <f t="shared" si="0"/>
        <v>6.4684720300454632</v>
      </c>
    </row>
    <row r="56" spans="1:14" x14ac:dyDescent="0.3">
      <c r="A56" s="4" t="s">
        <v>133</v>
      </c>
      <c r="B56" s="4" t="s">
        <v>14</v>
      </c>
      <c r="C56" s="5" t="s">
        <v>134</v>
      </c>
      <c r="D56" s="4" t="s">
        <v>43</v>
      </c>
      <c r="E56" s="6" t="s">
        <v>17</v>
      </c>
      <c r="F56" s="6" t="s">
        <v>18</v>
      </c>
      <c r="G56" s="4">
        <v>6976</v>
      </c>
      <c r="H56" s="4">
        <v>1320</v>
      </c>
      <c r="I56" s="6">
        <v>393</v>
      </c>
      <c r="J56" s="6">
        <v>2285</v>
      </c>
      <c r="K56" s="7">
        <v>14049</v>
      </c>
      <c r="L56" s="6">
        <v>101367</v>
      </c>
      <c r="M56" s="4" t="s">
        <v>63</v>
      </c>
      <c r="N56" s="6">
        <f t="shared" si="0"/>
        <v>8.5718231771681115</v>
      </c>
    </row>
    <row r="57" spans="1:14" x14ac:dyDescent="0.3">
      <c r="A57" s="4" t="s">
        <v>135</v>
      </c>
      <c r="B57" s="4" t="s">
        <v>21</v>
      </c>
      <c r="C57" s="5" t="s">
        <v>136</v>
      </c>
      <c r="D57" s="4" t="s">
        <v>28</v>
      </c>
      <c r="E57" s="6" t="s">
        <v>55</v>
      </c>
      <c r="F57" s="6" t="s">
        <v>56</v>
      </c>
      <c r="G57" s="4">
        <v>14775</v>
      </c>
      <c r="H57" s="4">
        <v>1220</v>
      </c>
      <c r="I57" s="6">
        <v>640</v>
      </c>
      <c r="J57" s="6">
        <v>1547</v>
      </c>
      <c r="K57" s="7">
        <v>28527</v>
      </c>
      <c r="L57" s="6">
        <v>183660</v>
      </c>
      <c r="M57" s="4" t="s">
        <v>63</v>
      </c>
      <c r="N57" s="6">
        <f t="shared" si="0"/>
        <v>9.0574975498203205</v>
      </c>
    </row>
    <row r="58" spans="1:14" x14ac:dyDescent="0.3">
      <c r="A58" s="4" t="s">
        <v>137</v>
      </c>
      <c r="B58" s="4" t="s">
        <v>21</v>
      </c>
      <c r="C58" s="5" t="s">
        <v>138</v>
      </c>
      <c r="D58" s="4" t="s">
        <v>34</v>
      </c>
      <c r="E58" s="6" t="s">
        <v>35</v>
      </c>
      <c r="F58" s="6" t="s">
        <v>70</v>
      </c>
      <c r="G58" s="4">
        <v>12015</v>
      </c>
      <c r="H58" s="4">
        <v>1196</v>
      </c>
      <c r="I58" s="6">
        <v>998</v>
      </c>
      <c r="J58" s="6">
        <v>1848</v>
      </c>
      <c r="K58" s="7">
        <v>44739</v>
      </c>
      <c r="L58" s="6">
        <v>161750</v>
      </c>
      <c r="M58" s="4" t="s">
        <v>63</v>
      </c>
      <c r="N58" s="6">
        <f t="shared" si="0"/>
        <v>8.7845440494590417</v>
      </c>
    </row>
    <row r="59" spans="1:14" x14ac:dyDescent="0.3">
      <c r="A59" s="4" t="s">
        <v>139</v>
      </c>
      <c r="B59" s="4" t="s">
        <v>26</v>
      </c>
      <c r="C59" s="5" t="s">
        <v>140</v>
      </c>
      <c r="D59" s="4" t="s">
        <v>43</v>
      </c>
      <c r="E59" s="6" t="s">
        <v>29</v>
      </c>
      <c r="F59" s="6" t="s">
        <v>30</v>
      </c>
      <c r="G59" s="4">
        <v>5419</v>
      </c>
      <c r="H59" s="4">
        <v>1150</v>
      </c>
      <c r="I59" s="6">
        <v>656</v>
      </c>
      <c r="J59" s="6">
        <v>1990</v>
      </c>
      <c r="K59" s="7">
        <v>410</v>
      </c>
      <c r="L59" s="6">
        <v>158154</v>
      </c>
      <c r="M59" s="4" t="s">
        <v>31</v>
      </c>
      <c r="N59" s="6">
        <f t="shared" si="0"/>
        <v>4.5683321319726344</v>
      </c>
    </row>
    <row r="60" spans="1:14" x14ac:dyDescent="0.3">
      <c r="A60" s="4" t="s">
        <v>141</v>
      </c>
      <c r="B60" s="4" t="s">
        <v>14</v>
      </c>
      <c r="C60" s="5" t="s">
        <v>142</v>
      </c>
      <c r="D60" s="4" t="s">
        <v>16</v>
      </c>
      <c r="E60" s="6" t="s">
        <v>48</v>
      </c>
      <c r="F60" s="6" t="s">
        <v>49</v>
      </c>
      <c r="G60" s="4">
        <v>16430</v>
      </c>
      <c r="H60" s="4">
        <v>488</v>
      </c>
      <c r="I60" s="6">
        <v>514</v>
      </c>
      <c r="J60" s="6">
        <v>1436</v>
      </c>
      <c r="K60" s="7">
        <v>30059</v>
      </c>
      <c r="L60" s="6">
        <v>223305</v>
      </c>
      <c r="M60" s="4" t="s">
        <v>37</v>
      </c>
      <c r="N60" s="6">
        <f t="shared" si="0"/>
        <v>7.8063634938760877</v>
      </c>
    </row>
    <row r="61" spans="1:14" x14ac:dyDescent="0.3">
      <c r="A61" s="4" t="s">
        <v>143</v>
      </c>
      <c r="B61" s="4" t="s">
        <v>26</v>
      </c>
      <c r="C61" s="5" t="s">
        <v>144</v>
      </c>
      <c r="D61" s="4" t="s">
        <v>28</v>
      </c>
      <c r="E61" s="6" t="s">
        <v>48</v>
      </c>
      <c r="F61" s="6" t="s">
        <v>49</v>
      </c>
      <c r="G61" s="4">
        <v>9239</v>
      </c>
      <c r="H61" s="4">
        <v>1477</v>
      </c>
      <c r="I61" s="6">
        <v>631</v>
      </c>
      <c r="J61" s="6">
        <v>1556</v>
      </c>
      <c r="K61" s="7">
        <v>11580</v>
      </c>
      <c r="L61" s="6">
        <v>84738</v>
      </c>
      <c r="M61" s="4" t="s">
        <v>31</v>
      </c>
      <c r="N61" s="6">
        <f t="shared" si="0"/>
        <v>13.390686586891359</v>
      </c>
    </row>
    <row r="62" spans="1:14" x14ac:dyDescent="0.3">
      <c r="A62" s="4" t="s">
        <v>145</v>
      </c>
      <c r="B62" s="4" t="s">
        <v>14</v>
      </c>
      <c r="C62" s="5" t="s">
        <v>146</v>
      </c>
      <c r="D62" s="4" t="s">
        <v>43</v>
      </c>
      <c r="E62" s="6" t="s">
        <v>93</v>
      </c>
      <c r="F62" s="6"/>
      <c r="G62" s="4">
        <v>16489</v>
      </c>
      <c r="H62" s="4">
        <v>395</v>
      </c>
      <c r="I62" s="6">
        <v>350</v>
      </c>
      <c r="J62" s="6">
        <v>2364</v>
      </c>
      <c r="K62" s="7">
        <v>43239</v>
      </c>
      <c r="L62" s="6">
        <v>73397</v>
      </c>
      <c r="M62" s="4" t="s">
        <v>63</v>
      </c>
      <c r="N62" s="6">
        <f t="shared" si="0"/>
        <v>23.48052372712781</v>
      </c>
    </row>
    <row r="63" spans="1:14" x14ac:dyDescent="0.3">
      <c r="A63" s="4" t="s">
        <v>147</v>
      </c>
      <c r="B63" s="4" t="s">
        <v>14</v>
      </c>
      <c r="C63" s="5">
        <v>45920</v>
      </c>
      <c r="D63" s="4" t="s">
        <v>16</v>
      </c>
      <c r="E63" s="6" t="s">
        <v>35</v>
      </c>
      <c r="F63" s="6" t="s">
        <v>70</v>
      </c>
      <c r="G63" s="4">
        <v>18633</v>
      </c>
      <c r="H63" s="4">
        <v>797</v>
      </c>
      <c r="I63" s="6">
        <v>303</v>
      </c>
      <c r="J63" s="6">
        <v>659</v>
      </c>
      <c r="K63" s="7">
        <v>7</v>
      </c>
      <c r="L63" s="6">
        <v>122189</v>
      </c>
      <c r="M63" s="4" t="s">
        <v>24</v>
      </c>
      <c r="N63" s="6">
        <f t="shared" si="0"/>
        <v>16.14957156536186</v>
      </c>
    </row>
    <row r="64" spans="1:14" x14ac:dyDescent="0.3">
      <c r="A64" s="4" t="s">
        <v>148</v>
      </c>
      <c r="B64" s="4" t="s">
        <v>26</v>
      </c>
      <c r="C64" s="5" t="s">
        <v>99</v>
      </c>
      <c r="D64" s="4" t="s">
        <v>16</v>
      </c>
      <c r="E64" s="6" t="s">
        <v>17</v>
      </c>
      <c r="F64" s="6" t="s">
        <v>18</v>
      </c>
      <c r="G64" s="4">
        <v>12357</v>
      </c>
      <c r="H64" s="4">
        <v>716</v>
      </c>
      <c r="I64" s="6">
        <v>599</v>
      </c>
      <c r="J64" s="6">
        <v>999</v>
      </c>
      <c r="K64" s="7">
        <v>89591</v>
      </c>
      <c r="L64" s="6">
        <v>116367</v>
      </c>
      <c r="M64" s="4" t="s">
        <v>19</v>
      </c>
      <c r="N64" s="6">
        <f t="shared" si="0"/>
        <v>11.749035379446063</v>
      </c>
    </row>
    <row r="65" spans="1:14" x14ac:dyDescent="0.3">
      <c r="A65" s="4" t="s">
        <v>149</v>
      </c>
      <c r="B65" s="4" t="s">
        <v>26</v>
      </c>
      <c r="C65" s="5" t="s">
        <v>150</v>
      </c>
      <c r="D65" s="4" t="s">
        <v>34</v>
      </c>
      <c r="E65" s="6" t="s">
        <v>40</v>
      </c>
      <c r="F65" s="6"/>
      <c r="G65" s="4">
        <v>19154</v>
      </c>
      <c r="H65" s="4">
        <v>1064</v>
      </c>
      <c r="I65" s="6">
        <v>650</v>
      </c>
      <c r="J65" s="6">
        <v>747</v>
      </c>
      <c r="K65" s="7">
        <v>42667</v>
      </c>
      <c r="L65" s="6">
        <v>242332</v>
      </c>
      <c r="M65" s="4" t="s">
        <v>31</v>
      </c>
      <c r="N65" s="6">
        <f t="shared" si="0"/>
        <v>8.6113266097750198</v>
      </c>
    </row>
    <row r="66" spans="1:14" x14ac:dyDescent="0.3">
      <c r="A66" s="4" t="s">
        <v>151</v>
      </c>
      <c r="B66" s="4" t="s">
        <v>14</v>
      </c>
      <c r="C66" s="5" t="s">
        <v>152</v>
      </c>
      <c r="D66" s="4" t="s">
        <v>28</v>
      </c>
      <c r="E66" s="6" t="s">
        <v>17</v>
      </c>
      <c r="F66" s="6" t="s">
        <v>18</v>
      </c>
      <c r="G66" s="4">
        <v>6363</v>
      </c>
      <c r="H66" s="4">
        <v>1341</v>
      </c>
      <c r="I66" s="6">
        <v>222</v>
      </c>
      <c r="J66" s="6">
        <v>2712</v>
      </c>
      <c r="K66" s="7">
        <v>19987</v>
      </c>
      <c r="L66" s="6">
        <v>160585</v>
      </c>
      <c r="M66" s="4" t="s">
        <v>31</v>
      </c>
      <c r="N66" s="6">
        <f t="shared" si="0"/>
        <v>4.935703832861102</v>
      </c>
    </row>
    <row r="67" spans="1:14" x14ac:dyDescent="0.3">
      <c r="A67" s="4" t="s">
        <v>153</v>
      </c>
      <c r="B67" s="4" t="s">
        <v>53</v>
      </c>
      <c r="C67" s="5" t="s">
        <v>154</v>
      </c>
      <c r="D67" s="4" t="s">
        <v>28</v>
      </c>
      <c r="E67" s="6" t="s">
        <v>48</v>
      </c>
      <c r="F67" s="6" t="s">
        <v>49</v>
      </c>
      <c r="G67" s="4">
        <v>12176</v>
      </c>
      <c r="H67" s="4">
        <v>1005</v>
      </c>
      <c r="I67" s="6">
        <v>862</v>
      </c>
      <c r="J67" s="6">
        <v>974</v>
      </c>
      <c r="K67" s="7">
        <v>2285</v>
      </c>
      <c r="L67" s="6">
        <v>116619</v>
      </c>
      <c r="M67" s="4" t="s">
        <v>37</v>
      </c>
      <c r="N67" s="6">
        <f t="shared" ref="N67:N69" si="1">(G67+H67+I67)/L67*100</f>
        <v>12.041777068916728</v>
      </c>
    </row>
    <row r="68" spans="1:14" x14ac:dyDescent="0.3">
      <c r="A68" s="4" t="s">
        <v>155</v>
      </c>
      <c r="B68" s="4" t="s">
        <v>21</v>
      </c>
      <c r="C68" s="5" t="s">
        <v>156</v>
      </c>
      <c r="D68" s="4" t="s">
        <v>34</v>
      </c>
      <c r="E68" s="6" t="s">
        <v>48</v>
      </c>
      <c r="F68" s="6" t="s">
        <v>49</v>
      </c>
      <c r="G68" s="4">
        <v>19461</v>
      </c>
      <c r="H68" s="4">
        <v>1382</v>
      </c>
      <c r="I68" s="6">
        <v>445</v>
      </c>
      <c r="J68" s="6">
        <v>1307</v>
      </c>
      <c r="K68" s="7">
        <v>84691</v>
      </c>
      <c r="L68" s="6">
        <v>151453</v>
      </c>
      <c r="M68" s="4" t="s">
        <v>37</v>
      </c>
      <c r="N68" s="6">
        <f t="shared" si="1"/>
        <v>14.055845707909384</v>
      </c>
    </row>
    <row r="69" spans="1:14" x14ac:dyDescent="0.3">
      <c r="A69" s="4" t="s">
        <v>157</v>
      </c>
      <c r="B69" s="4" t="s">
        <v>26</v>
      </c>
      <c r="C69" s="5" t="s">
        <v>158</v>
      </c>
      <c r="D69" s="4" t="s">
        <v>34</v>
      </c>
      <c r="E69" s="6" t="s">
        <v>22</v>
      </c>
      <c r="F69" s="6" t="s">
        <v>23</v>
      </c>
      <c r="G69" s="4">
        <v>10427</v>
      </c>
      <c r="H69" s="4">
        <v>1014</v>
      </c>
      <c r="I69" s="6">
        <v>166</v>
      </c>
      <c r="J69" s="6">
        <v>1649</v>
      </c>
      <c r="K69" s="7">
        <v>15145</v>
      </c>
      <c r="L69" s="6">
        <v>59816</v>
      </c>
      <c r="M69" s="4" t="s">
        <v>31</v>
      </c>
      <c r="N69" s="6">
        <f t="shared" si="1"/>
        <v>19.404507155276178</v>
      </c>
    </row>
    <row r="70" spans="1:14" x14ac:dyDescent="0.3">
      <c r="A70" s="4" t="s">
        <v>159</v>
      </c>
      <c r="B70" s="4" t="s">
        <v>21</v>
      </c>
      <c r="C70" s="5" t="s">
        <v>160</v>
      </c>
      <c r="D70" s="4" t="s">
        <v>28</v>
      </c>
      <c r="E70" s="6" t="s">
        <v>48</v>
      </c>
      <c r="F70" s="6" t="s">
        <v>49</v>
      </c>
      <c r="G70" s="4">
        <v>10580</v>
      </c>
      <c r="H70" s="4">
        <v>427</v>
      </c>
      <c r="I70" s="6">
        <v>790</v>
      </c>
      <c r="J70" s="6">
        <v>2814</v>
      </c>
      <c r="K70" s="7">
        <v>24916</v>
      </c>
      <c r="L70" s="6">
        <v>213312</v>
      </c>
      <c r="M70" s="4" t="s">
        <v>63</v>
      </c>
      <c r="N70" s="6">
        <f>(G70+H70+I70)/L70*100</f>
        <v>5.5303967896789681</v>
      </c>
    </row>
    <row r="71" spans="1:14" x14ac:dyDescent="0.3">
      <c r="A71" s="4" t="s">
        <v>161</v>
      </c>
      <c r="B71" s="4" t="s">
        <v>53</v>
      </c>
      <c r="C71" s="5" t="s">
        <v>162</v>
      </c>
      <c r="D71" s="4" t="s">
        <v>28</v>
      </c>
      <c r="E71" s="6" t="s">
        <v>55</v>
      </c>
      <c r="F71" s="6" t="s">
        <v>56</v>
      </c>
      <c r="G71" s="4">
        <v>6858</v>
      </c>
      <c r="H71" s="4">
        <v>415</v>
      </c>
      <c r="I71" s="6">
        <v>366</v>
      </c>
      <c r="J71" s="6">
        <v>2761</v>
      </c>
      <c r="K71" s="7">
        <v>2988</v>
      </c>
      <c r="L71" s="6">
        <v>177348</v>
      </c>
      <c r="M71" s="4" t="s">
        <v>19</v>
      </c>
      <c r="N71" s="6">
        <f t="shared" ref="N71:N95" si="2">(G71+H71+I71)/L71*100</f>
        <v>4.3073505198818136</v>
      </c>
    </row>
    <row r="72" spans="1:14" x14ac:dyDescent="0.3">
      <c r="A72" s="4" t="s">
        <v>163</v>
      </c>
      <c r="B72" s="4" t="s">
        <v>53</v>
      </c>
      <c r="C72" s="5" t="s">
        <v>164</v>
      </c>
      <c r="D72" s="4" t="s">
        <v>43</v>
      </c>
      <c r="E72" s="6" t="s">
        <v>35</v>
      </c>
      <c r="F72" s="6" t="s">
        <v>36</v>
      </c>
      <c r="G72" s="4">
        <v>12040</v>
      </c>
      <c r="H72" s="4">
        <v>1147</v>
      </c>
      <c r="I72" s="6">
        <v>210</v>
      </c>
      <c r="J72" s="6">
        <v>885</v>
      </c>
      <c r="K72" s="7">
        <v>30360</v>
      </c>
      <c r="L72" s="6">
        <v>119530</v>
      </c>
      <c r="M72" s="4" t="s">
        <v>37</v>
      </c>
      <c r="N72" s="6">
        <f t="shared" si="2"/>
        <v>11.20806492094035</v>
      </c>
    </row>
    <row r="73" spans="1:14" x14ac:dyDescent="0.3">
      <c r="A73" s="4" t="s">
        <v>165</v>
      </c>
      <c r="B73" s="4" t="s">
        <v>53</v>
      </c>
      <c r="C73" s="5" t="s">
        <v>166</v>
      </c>
      <c r="D73" s="4" t="s">
        <v>43</v>
      </c>
      <c r="E73" s="6" t="s">
        <v>35</v>
      </c>
      <c r="F73" s="6" t="s">
        <v>70</v>
      </c>
      <c r="G73" s="4">
        <v>24928</v>
      </c>
      <c r="H73" s="4">
        <v>214</v>
      </c>
      <c r="I73" s="6">
        <v>765</v>
      </c>
      <c r="J73" s="6">
        <v>1556</v>
      </c>
      <c r="K73" s="7">
        <v>5239</v>
      </c>
      <c r="L73" s="6">
        <v>194571</v>
      </c>
      <c r="M73" s="4" t="s">
        <v>63</v>
      </c>
      <c r="N73" s="6">
        <f t="shared" si="2"/>
        <v>13.314933880177415</v>
      </c>
    </row>
    <row r="74" spans="1:14" x14ac:dyDescent="0.3">
      <c r="A74" s="4" t="s">
        <v>167</v>
      </c>
      <c r="B74" s="4" t="s">
        <v>26</v>
      </c>
      <c r="C74" s="5">
        <v>45921</v>
      </c>
      <c r="D74" s="4" t="s">
        <v>34</v>
      </c>
      <c r="E74" s="6" t="s">
        <v>17</v>
      </c>
      <c r="F74" s="6" t="s">
        <v>18</v>
      </c>
      <c r="G74" s="4">
        <v>23103</v>
      </c>
      <c r="H74" s="4">
        <v>1380</v>
      </c>
      <c r="I74" s="6">
        <v>191</v>
      </c>
      <c r="J74" s="6">
        <v>1547</v>
      </c>
      <c r="K74" s="7">
        <v>77798</v>
      </c>
      <c r="L74" s="6">
        <v>148856</v>
      </c>
      <c r="M74" s="4" t="s">
        <v>24</v>
      </c>
      <c r="N74" s="6">
        <f t="shared" si="2"/>
        <v>16.575751061428495</v>
      </c>
    </row>
    <row r="75" spans="1:14" x14ac:dyDescent="0.3">
      <c r="A75" s="4" t="s">
        <v>168</v>
      </c>
      <c r="B75" s="4" t="s">
        <v>53</v>
      </c>
      <c r="C75" s="5" t="s">
        <v>169</v>
      </c>
      <c r="D75" s="4" t="s">
        <v>43</v>
      </c>
      <c r="E75" s="6" t="s">
        <v>35</v>
      </c>
      <c r="F75" s="6" t="s">
        <v>36</v>
      </c>
      <c r="G75" s="4">
        <v>21198</v>
      </c>
      <c r="H75" s="4">
        <v>1484</v>
      </c>
      <c r="I75" s="6">
        <v>174</v>
      </c>
      <c r="J75" s="6">
        <v>1293</v>
      </c>
      <c r="K75" s="7">
        <v>16330</v>
      </c>
      <c r="L75" s="6">
        <v>111635</v>
      </c>
      <c r="M75" s="4" t="s">
        <v>37</v>
      </c>
      <c r="N75" s="6">
        <f t="shared" si="2"/>
        <v>20.473865723115512</v>
      </c>
    </row>
    <row r="76" spans="1:14" x14ac:dyDescent="0.3">
      <c r="A76" s="4" t="s">
        <v>170</v>
      </c>
      <c r="B76" s="4" t="s">
        <v>26</v>
      </c>
      <c r="C76" s="5" t="s">
        <v>171</v>
      </c>
      <c r="D76" s="4" t="s">
        <v>16</v>
      </c>
      <c r="E76" s="6" t="s">
        <v>29</v>
      </c>
      <c r="F76" s="6" t="s">
        <v>30</v>
      </c>
      <c r="G76" s="4">
        <v>21758</v>
      </c>
      <c r="H76" s="4">
        <v>1380</v>
      </c>
      <c r="I76" s="6">
        <v>188</v>
      </c>
      <c r="J76" s="6">
        <v>1735</v>
      </c>
      <c r="K76" s="7">
        <v>20998</v>
      </c>
      <c r="L76" s="6">
        <v>147803</v>
      </c>
      <c r="M76" s="4" t="s">
        <v>63</v>
      </c>
      <c r="N76" s="6">
        <f t="shared" si="2"/>
        <v>15.781817689762725</v>
      </c>
    </row>
    <row r="77" spans="1:14" x14ac:dyDescent="0.3">
      <c r="A77" s="4" t="s">
        <v>172</v>
      </c>
      <c r="B77" s="4" t="s">
        <v>53</v>
      </c>
      <c r="C77" s="5" t="s">
        <v>173</v>
      </c>
      <c r="D77" s="4" t="s">
        <v>43</v>
      </c>
      <c r="E77" s="6" t="s">
        <v>40</v>
      </c>
      <c r="F77" s="6"/>
      <c r="G77" s="4">
        <v>17254</v>
      </c>
      <c r="H77" s="4">
        <v>246</v>
      </c>
      <c r="I77" s="6">
        <v>952</v>
      </c>
      <c r="J77" s="6">
        <v>871</v>
      </c>
      <c r="K77" s="7">
        <v>14957</v>
      </c>
      <c r="L77" s="6">
        <v>75946</v>
      </c>
      <c r="M77" s="4" t="s">
        <v>63</v>
      </c>
      <c r="N77" s="6">
        <f t="shared" si="2"/>
        <v>24.296210465330631</v>
      </c>
    </row>
    <row r="78" spans="1:14" x14ac:dyDescent="0.3">
      <c r="A78" s="4" t="s">
        <v>174</v>
      </c>
      <c r="B78" s="4" t="s">
        <v>21</v>
      </c>
      <c r="C78" s="5" t="s">
        <v>91</v>
      </c>
      <c r="D78" s="4" t="s">
        <v>43</v>
      </c>
      <c r="E78" s="6" t="s">
        <v>55</v>
      </c>
      <c r="F78" s="6" t="s">
        <v>56</v>
      </c>
      <c r="G78" s="4">
        <v>13470</v>
      </c>
      <c r="H78" s="4">
        <v>523</v>
      </c>
      <c r="I78" s="6">
        <v>280</v>
      </c>
      <c r="J78" s="6">
        <v>2682</v>
      </c>
      <c r="K78" s="7">
        <v>8538</v>
      </c>
      <c r="L78" s="6">
        <v>95204</v>
      </c>
      <c r="M78" s="4" t="s">
        <v>19</v>
      </c>
      <c r="N78" s="6">
        <f t="shared" si="2"/>
        <v>14.992017142136884</v>
      </c>
    </row>
    <row r="79" spans="1:14" x14ac:dyDescent="0.3">
      <c r="A79" s="4" t="s">
        <v>175</v>
      </c>
      <c r="B79" s="4" t="s">
        <v>21</v>
      </c>
      <c r="C79" s="5" t="s">
        <v>134</v>
      </c>
      <c r="D79" s="4" t="s">
        <v>16</v>
      </c>
      <c r="E79" s="6" t="s">
        <v>44</v>
      </c>
      <c r="F79" s="6" t="s">
        <v>45</v>
      </c>
      <c r="G79" s="4">
        <v>3252</v>
      </c>
      <c r="H79" s="4">
        <v>1043</v>
      </c>
      <c r="I79" s="6">
        <v>647</v>
      </c>
      <c r="J79" s="6">
        <v>1545</v>
      </c>
      <c r="K79" s="7">
        <v>18859</v>
      </c>
      <c r="L79" s="6">
        <v>222958</v>
      </c>
      <c r="M79" s="4" t="s">
        <v>19</v>
      </c>
      <c r="N79" s="6">
        <f t="shared" si="2"/>
        <v>2.2165609666394568</v>
      </c>
    </row>
    <row r="80" spans="1:14" x14ac:dyDescent="0.3">
      <c r="A80" s="4" t="s">
        <v>176</v>
      </c>
      <c r="B80" s="4" t="s">
        <v>14</v>
      </c>
      <c r="C80" s="5">
        <v>45922</v>
      </c>
      <c r="D80" s="4" t="s">
        <v>34</v>
      </c>
      <c r="E80" s="6" t="s">
        <v>177</v>
      </c>
      <c r="F80" s="6" t="s">
        <v>178</v>
      </c>
      <c r="G80" s="4">
        <v>8996</v>
      </c>
      <c r="H80" s="4">
        <v>329</v>
      </c>
      <c r="I80" s="6">
        <v>378</v>
      </c>
      <c r="J80" s="6">
        <v>2384</v>
      </c>
      <c r="K80" s="7">
        <v>39404</v>
      </c>
      <c r="L80" s="6">
        <v>242724</v>
      </c>
      <c r="M80" s="4" t="s">
        <v>24</v>
      </c>
      <c r="N80" s="6">
        <f t="shared" si="2"/>
        <v>3.997544536181012</v>
      </c>
    </row>
    <row r="81" spans="1:14" x14ac:dyDescent="0.3">
      <c r="A81" s="4" t="s">
        <v>179</v>
      </c>
      <c r="B81" s="4" t="s">
        <v>21</v>
      </c>
      <c r="C81" s="5" t="s">
        <v>128</v>
      </c>
      <c r="D81" s="4" t="s">
        <v>16</v>
      </c>
      <c r="E81" s="6" t="s">
        <v>17</v>
      </c>
      <c r="F81" s="6" t="s">
        <v>18</v>
      </c>
      <c r="G81" s="4">
        <v>14173</v>
      </c>
      <c r="H81" s="4">
        <v>294</v>
      </c>
      <c r="I81" s="6">
        <v>257</v>
      </c>
      <c r="J81" s="6">
        <v>1288</v>
      </c>
      <c r="K81" s="7">
        <v>39466</v>
      </c>
      <c r="L81" s="6">
        <v>55563</v>
      </c>
      <c r="M81" s="4" t="s">
        <v>63</v>
      </c>
      <c r="N81" s="6">
        <f t="shared" si="2"/>
        <v>26.499649047027695</v>
      </c>
    </row>
    <row r="82" spans="1:14" x14ac:dyDescent="0.3">
      <c r="A82" s="4" t="s">
        <v>180</v>
      </c>
      <c r="B82" s="4" t="s">
        <v>14</v>
      </c>
      <c r="C82" s="5" t="s">
        <v>181</v>
      </c>
      <c r="D82" s="4" t="s">
        <v>43</v>
      </c>
      <c r="E82" s="6" t="s">
        <v>35</v>
      </c>
      <c r="F82" s="6" t="s">
        <v>36</v>
      </c>
      <c r="G82" s="4">
        <v>6673</v>
      </c>
      <c r="H82" s="4">
        <v>826</v>
      </c>
      <c r="I82" s="6">
        <v>321</v>
      </c>
      <c r="J82" s="6">
        <v>577</v>
      </c>
      <c r="K82" s="7">
        <v>19262</v>
      </c>
      <c r="L82" s="6">
        <v>132324</v>
      </c>
      <c r="M82" s="4" t="s">
        <v>63</v>
      </c>
      <c r="N82" s="6">
        <f t="shared" si="2"/>
        <v>5.9097367068710129</v>
      </c>
    </row>
    <row r="83" spans="1:14" x14ac:dyDescent="0.3">
      <c r="A83" s="4" t="s">
        <v>182</v>
      </c>
      <c r="B83" s="4" t="s">
        <v>21</v>
      </c>
      <c r="C83" s="5" t="s">
        <v>183</v>
      </c>
      <c r="D83" s="4" t="s">
        <v>34</v>
      </c>
      <c r="E83" s="6" t="s">
        <v>44</v>
      </c>
      <c r="F83" s="6" t="s">
        <v>45</v>
      </c>
      <c r="G83" s="4">
        <v>22914</v>
      </c>
      <c r="H83" s="4">
        <v>954</v>
      </c>
      <c r="I83" s="6">
        <v>584</v>
      </c>
      <c r="J83" s="6">
        <v>1519</v>
      </c>
      <c r="K83" s="7">
        <v>13637</v>
      </c>
      <c r="L83" s="6">
        <v>49847</v>
      </c>
      <c r="M83" s="4" t="s">
        <v>19</v>
      </c>
      <c r="N83" s="6">
        <f t="shared" si="2"/>
        <v>49.054105563022851</v>
      </c>
    </row>
    <row r="84" spans="1:14" x14ac:dyDescent="0.3">
      <c r="A84" s="4" t="s">
        <v>184</v>
      </c>
      <c r="B84" s="4" t="s">
        <v>26</v>
      </c>
      <c r="C84" s="5" t="s">
        <v>185</v>
      </c>
      <c r="D84" s="4" t="s">
        <v>43</v>
      </c>
      <c r="E84" s="6" t="s">
        <v>40</v>
      </c>
      <c r="F84" s="6"/>
      <c r="G84" s="4">
        <v>17781</v>
      </c>
      <c r="H84" s="4">
        <v>993</v>
      </c>
      <c r="I84" s="6">
        <v>627</v>
      </c>
      <c r="J84" s="6">
        <v>2187</v>
      </c>
      <c r="K84" s="7">
        <v>9609</v>
      </c>
      <c r="L84" s="6">
        <v>66155</v>
      </c>
      <c r="M84" s="4" t="s">
        <v>37</v>
      </c>
      <c r="N84" s="6">
        <f t="shared" si="2"/>
        <v>29.326581513113144</v>
      </c>
    </row>
    <row r="85" spans="1:14" x14ac:dyDescent="0.3">
      <c r="A85" s="4" t="s">
        <v>186</v>
      </c>
      <c r="B85" s="4" t="s">
        <v>21</v>
      </c>
      <c r="C85" s="5" t="s">
        <v>187</v>
      </c>
      <c r="D85" s="4" t="s">
        <v>16</v>
      </c>
      <c r="E85" s="6" t="s">
        <v>22</v>
      </c>
      <c r="F85" s="6" t="s">
        <v>23</v>
      </c>
      <c r="G85" s="4">
        <v>15051</v>
      </c>
      <c r="H85" s="4">
        <v>268</v>
      </c>
      <c r="I85" s="6">
        <v>251</v>
      </c>
      <c r="J85" s="6">
        <v>783</v>
      </c>
      <c r="K85" s="7">
        <v>34154</v>
      </c>
      <c r="L85" s="6">
        <v>119671</v>
      </c>
      <c r="M85" s="4" t="s">
        <v>37</v>
      </c>
      <c r="N85" s="6">
        <f t="shared" si="2"/>
        <v>13.010670922779955</v>
      </c>
    </row>
    <row r="86" spans="1:14" x14ac:dyDescent="0.3">
      <c r="A86" s="4" t="s">
        <v>188</v>
      </c>
      <c r="B86" s="4" t="s">
        <v>14</v>
      </c>
      <c r="C86" s="5" t="s">
        <v>105</v>
      </c>
      <c r="D86" s="4" t="s">
        <v>16</v>
      </c>
      <c r="E86" s="6" t="s">
        <v>44</v>
      </c>
      <c r="F86" s="6" t="s">
        <v>45</v>
      </c>
      <c r="G86" s="4">
        <v>8881</v>
      </c>
      <c r="H86" s="4">
        <v>210</v>
      </c>
      <c r="I86" s="6">
        <v>673</v>
      </c>
      <c r="J86" s="6">
        <v>1565</v>
      </c>
      <c r="K86" s="7">
        <v>24847</v>
      </c>
      <c r="L86" s="6">
        <v>156891</v>
      </c>
      <c r="M86" s="4" t="s">
        <v>31</v>
      </c>
      <c r="N86" s="6">
        <f t="shared" si="2"/>
        <v>6.2234290048505008</v>
      </c>
    </row>
    <row r="87" spans="1:14" x14ac:dyDescent="0.3">
      <c r="A87" s="4" t="s">
        <v>189</v>
      </c>
      <c r="B87" s="4" t="s">
        <v>14</v>
      </c>
      <c r="C87" s="5" t="s">
        <v>190</v>
      </c>
      <c r="D87" s="4" t="s">
        <v>43</v>
      </c>
      <c r="E87" s="6" t="s">
        <v>55</v>
      </c>
      <c r="F87" s="6" t="s">
        <v>56</v>
      </c>
      <c r="G87" s="4">
        <v>8949</v>
      </c>
      <c r="H87" s="4">
        <v>1477</v>
      </c>
      <c r="I87" s="6">
        <v>424</v>
      </c>
      <c r="J87" s="6">
        <v>1030</v>
      </c>
      <c r="K87" s="7">
        <v>58052</v>
      </c>
      <c r="L87" s="6">
        <v>123310</v>
      </c>
      <c r="M87" s="4" t="s">
        <v>19</v>
      </c>
      <c r="N87" s="6">
        <f t="shared" si="2"/>
        <v>8.798961965777309</v>
      </c>
    </row>
    <row r="88" spans="1:14" x14ac:dyDescent="0.3">
      <c r="A88" s="4" t="s">
        <v>191</v>
      </c>
      <c r="B88" s="4" t="s">
        <v>53</v>
      </c>
      <c r="C88" s="5" t="s">
        <v>192</v>
      </c>
      <c r="D88" s="4" t="s">
        <v>28</v>
      </c>
      <c r="E88" s="6" t="s">
        <v>55</v>
      </c>
      <c r="F88" s="6" t="s">
        <v>56</v>
      </c>
      <c r="G88" s="4">
        <v>11521</v>
      </c>
      <c r="H88" s="4">
        <v>1071</v>
      </c>
      <c r="I88" s="6">
        <v>762</v>
      </c>
      <c r="J88" s="6">
        <v>2539</v>
      </c>
      <c r="K88" s="7">
        <v>12701</v>
      </c>
      <c r="L88" s="6">
        <v>238350</v>
      </c>
      <c r="M88" s="4" t="s">
        <v>31</v>
      </c>
      <c r="N88" s="6">
        <f t="shared" si="2"/>
        <v>5.602685126914202</v>
      </c>
    </row>
    <row r="89" spans="1:14" x14ac:dyDescent="0.3">
      <c r="A89" s="4" t="s">
        <v>193</v>
      </c>
      <c r="B89" s="4" t="s">
        <v>26</v>
      </c>
      <c r="C89" s="5" t="s">
        <v>194</v>
      </c>
      <c r="D89" s="4" t="s">
        <v>28</v>
      </c>
      <c r="E89" s="6" t="s">
        <v>22</v>
      </c>
      <c r="F89" s="6" t="s">
        <v>23</v>
      </c>
      <c r="G89" s="4">
        <v>24625</v>
      </c>
      <c r="H89" s="4">
        <v>749</v>
      </c>
      <c r="I89" s="6">
        <v>193</v>
      </c>
      <c r="J89" s="6">
        <v>1340</v>
      </c>
      <c r="K89" s="7">
        <v>4890</v>
      </c>
      <c r="L89" s="6">
        <v>189381</v>
      </c>
      <c r="M89" s="4" t="s">
        <v>19</v>
      </c>
      <c r="N89" s="6">
        <f t="shared" si="2"/>
        <v>13.500298340382615</v>
      </c>
    </row>
    <row r="90" spans="1:14" x14ac:dyDescent="0.3">
      <c r="A90" s="4" t="s">
        <v>195</v>
      </c>
      <c r="B90" s="4" t="s">
        <v>21</v>
      </c>
      <c r="C90" s="5">
        <v>45923</v>
      </c>
      <c r="D90" s="4" t="s">
        <v>16</v>
      </c>
      <c r="E90" s="6" t="s">
        <v>177</v>
      </c>
      <c r="F90" s="6" t="s">
        <v>178</v>
      </c>
      <c r="G90" s="4">
        <v>10017</v>
      </c>
      <c r="H90" s="4">
        <v>1357</v>
      </c>
      <c r="I90" s="6">
        <v>966</v>
      </c>
      <c r="J90" s="6">
        <v>2871</v>
      </c>
      <c r="K90" s="7">
        <v>14800</v>
      </c>
      <c r="L90" s="6">
        <v>171691</v>
      </c>
      <c r="M90" s="4" t="s">
        <v>24</v>
      </c>
      <c r="N90" s="6">
        <f t="shared" si="2"/>
        <v>7.1873307278774075</v>
      </c>
    </row>
    <row r="91" spans="1:14" x14ac:dyDescent="0.3">
      <c r="A91" s="4" t="s">
        <v>196</v>
      </c>
      <c r="B91" s="4" t="s">
        <v>53</v>
      </c>
      <c r="C91" s="5" t="s">
        <v>197</v>
      </c>
      <c r="D91" s="4" t="s">
        <v>16</v>
      </c>
      <c r="E91" s="6" t="s">
        <v>35</v>
      </c>
      <c r="F91" s="6" t="s">
        <v>70</v>
      </c>
      <c r="G91" s="4">
        <v>8941</v>
      </c>
      <c r="H91" s="4">
        <v>911</v>
      </c>
      <c r="I91" s="6">
        <v>166</v>
      </c>
      <c r="J91" s="6">
        <v>1217</v>
      </c>
      <c r="K91" s="7">
        <v>68817</v>
      </c>
      <c r="L91" s="6">
        <v>221180</v>
      </c>
      <c r="M91" s="4" t="s">
        <v>63</v>
      </c>
      <c r="N91" s="6">
        <f t="shared" si="2"/>
        <v>4.5293426168731354</v>
      </c>
    </row>
    <row r="92" spans="1:14" x14ac:dyDescent="0.3">
      <c r="A92" s="4" t="s">
        <v>198</v>
      </c>
      <c r="B92" s="4" t="s">
        <v>21</v>
      </c>
      <c r="C92" s="5">
        <v>45924</v>
      </c>
      <c r="D92" s="4" t="s">
        <v>28</v>
      </c>
      <c r="E92" s="6" t="s">
        <v>44</v>
      </c>
      <c r="F92" s="6" t="s">
        <v>45</v>
      </c>
      <c r="G92" s="4">
        <v>12209</v>
      </c>
      <c r="H92" s="4">
        <v>222</v>
      </c>
      <c r="I92" s="6">
        <v>479</v>
      </c>
      <c r="J92" s="6">
        <v>2748</v>
      </c>
      <c r="K92" s="7">
        <v>24615</v>
      </c>
      <c r="L92" s="6">
        <v>74707</v>
      </c>
      <c r="M92" s="4" t="s">
        <v>24</v>
      </c>
      <c r="N92" s="6">
        <f t="shared" si="2"/>
        <v>17.28084382989546</v>
      </c>
    </row>
    <row r="93" spans="1:14" x14ac:dyDescent="0.3">
      <c r="A93" s="4" t="s">
        <v>199</v>
      </c>
      <c r="B93" s="4" t="s">
        <v>21</v>
      </c>
      <c r="C93" s="5" t="s">
        <v>138</v>
      </c>
      <c r="D93" s="4" t="s">
        <v>28</v>
      </c>
      <c r="E93" s="6" t="s">
        <v>22</v>
      </c>
      <c r="F93" s="6" t="s">
        <v>23</v>
      </c>
      <c r="G93" s="4">
        <v>19715</v>
      </c>
      <c r="H93" s="4">
        <v>1014</v>
      </c>
      <c r="I93" s="6">
        <v>718</v>
      </c>
      <c r="J93" s="6">
        <v>1185</v>
      </c>
      <c r="K93" s="7">
        <v>37625</v>
      </c>
      <c r="L93" s="6">
        <v>191409</v>
      </c>
      <c r="M93" s="4" t="s">
        <v>19</v>
      </c>
      <c r="N93" s="6">
        <f t="shared" si="2"/>
        <v>11.204802282024357</v>
      </c>
    </row>
    <row r="94" spans="1:14" x14ac:dyDescent="0.3">
      <c r="A94" s="4" t="s">
        <v>200</v>
      </c>
      <c r="B94" s="4" t="s">
        <v>53</v>
      </c>
      <c r="C94" s="5" t="s">
        <v>201</v>
      </c>
      <c r="D94" s="4" t="s">
        <v>43</v>
      </c>
      <c r="E94" s="6" t="s">
        <v>55</v>
      </c>
      <c r="F94" s="6" t="s">
        <v>56</v>
      </c>
      <c r="G94" s="4">
        <v>22645</v>
      </c>
      <c r="H94" s="4">
        <v>545</v>
      </c>
      <c r="I94" s="6">
        <v>972</v>
      </c>
      <c r="J94" s="6">
        <v>321</v>
      </c>
      <c r="K94" s="7">
        <v>8396</v>
      </c>
      <c r="L94" s="6">
        <v>121537</v>
      </c>
      <c r="M94" s="4" t="s">
        <v>63</v>
      </c>
      <c r="N94" s="6">
        <f t="shared" si="2"/>
        <v>19.880365649966677</v>
      </c>
    </row>
    <row r="95" spans="1:14" x14ac:dyDescent="0.3">
      <c r="A95" s="4" t="s">
        <v>202</v>
      </c>
      <c r="B95" s="4" t="s">
        <v>53</v>
      </c>
      <c r="C95" s="5" t="s">
        <v>173</v>
      </c>
      <c r="D95" s="4" t="s">
        <v>43</v>
      </c>
      <c r="E95" s="6" t="s">
        <v>55</v>
      </c>
      <c r="F95" s="6" t="s">
        <v>56</v>
      </c>
      <c r="G95" s="4">
        <v>11550</v>
      </c>
      <c r="H95" s="4">
        <v>501</v>
      </c>
      <c r="I95" s="6">
        <v>646</v>
      </c>
      <c r="J95" s="6">
        <v>773</v>
      </c>
      <c r="K95" s="7">
        <v>17841</v>
      </c>
      <c r="L95" s="6">
        <v>237576</v>
      </c>
      <c r="M95" s="4" t="s">
        <v>37</v>
      </c>
      <c r="N95" s="6">
        <f t="shared" si="2"/>
        <v>5.3443950567397387</v>
      </c>
    </row>
    <row r="96" spans="1:14" x14ac:dyDescent="0.3">
      <c r="A96" s="4" t="s">
        <v>203</v>
      </c>
      <c r="B96" s="4" t="s">
        <v>53</v>
      </c>
      <c r="C96" s="5" t="s">
        <v>204</v>
      </c>
      <c r="D96" s="4" t="s">
        <v>28</v>
      </c>
      <c r="E96" s="6" t="s">
        <v>35</v>
      </c>
      <c r="F96" s="6" t="s">
        <v>36</v>
      </c>
      <c r="G96" s="4">
        <v>23499</v>
      </c>
      <c r="H96" s="4">
        <v>562</v>
      </c>
      <c r="I96" s="6">
        <v>964</v>
      </c>
      <c r="J96" s="6">
        <v>2557</v>
      </c>
      <c r="K96" s="7">
        <v>56890</v>
      </c>
      <c r="L96" s="6">
        <v>218686</v>
      </c>
      <c r="M96" s="4" t="s">
        <v>37</v>
      </c>
      <c r="N96" s="6">
        <f>(G96+H96+I96)/L96*100</f>
        <v>11.443347996671026</v>
      </c>
    </row>
    <row r="97" spans="1:14" x14ac:dyDescent="0.3">
      <c r="A97" s="4" t="s">
        <v>205</v>
      </c>
      <c r="B97" s="4" t="s">
        <v>53</v>
      </c>
      <c r="C97" s="5" t="s">
        <v>206</v>
      </c>
      <c r="D97" s="4" t="s">
        <v>43</v>
      </c>
      <c r="E97" s="6" t="s">
        <v>48</v>
      </c>
      <c r="F97" s="6" t="s">
        <v>49</v>
      </c>
      <c r="G97" s="4">
        <v>6637</v>
      </c>
      <c r="H97" s="4">
        <v>595</v>
      </c>
      <c r="I97" s="6">
        <v>161</v>
      </c>
      <c r="J97" s="6">
        <v>2653</v>
      </c>
      <c r="K97" s="7">
        <v>19334</v>
      </c>
      <c r="L97" s="6">
        <v>131155</v>
      </c>
      <c r="M97" s="4" t="s">
        <v>31</v>
      </c>
      <c r="N97" s="6">
        <f t="shared" ref="N97:N119" si="3">(G97+H97+I97)/L97*100</f>
        <v>5.6368419046166744</v>
      </c>
    </row>
    <row r="98" spans="1:14" x14ac:dyDescent="0.3">
      <c r="A98" s="4" t="s">
        <v>207</v>
      </c>
      <c r="B98" s="4" t="s">
        <v>53</v>
      </c>
      <c r="C98" s="5" t="s">
        <v>208</v>
      </c>
      <c r="D98" s="4" t="s">
        <v>43</v>
      </c>
      <c r="E98" s="6" t="s">
        <v>177</v>
      </c>
      <c r="F98" s="6" t="s">
        <v>178</v>
      </c>
      <c r="G98" s="4">
        <v>6854</v>
      </c>
      <c r="H98" s="4">
        <v>417</v>
      </c>
      <c r="I98" s="6">
        <v>467</v>
      </c>
      <c r="J98" s="6">
        <v>1003</v>
      </c>
      <c r="K98" s="7">
        <v>61333</v>
      </c>
      <c r="L98" s="6">
        <v>40281</v>
      </c>
      <c r="M98" s="4" t="s">
        <v>19</v>
      </c>
      <c r="N98" s="6">
        <f t="shared" si="3"/>
        <v>19.210049402944314</v>
      </c>
    </row>
    <row r="99" spans="1:14" x14ac:dyDescent="0.3">
      <c r="A99" s="4" t="s">
        <v>209</v>
      </c>
      <c r="B99" s="4" t="s">
        <v>21</v>
      </c>
      <c r="C99" s="5" t="s">
        <v>210</v>
      </c>
      <c r="D99" s="4" t="s">
        <v>34</v>
      </c>
      <c r="E99" s="6" t="s">
        <v>44</v>
      </c>
      <c r="F99" s="6" t="s">
        <v>45</v>
      </c>
      <c r="G99" s="4">
        <v>21561</v>
      </c>
      <c r="H99" s="4">
        <v>340</v>
      </c>
      <c r="I99" s="6">
        <v>741</v>
      </c>
      <c r="J99" s="6">
        <v>986</v>
      </c>
      <c r="K99" s="7">
        <v>24826</v>
      </c>
      <c r="L99" s="6">
        <v>198492</v>
      </c>
      <c r="M99" s="4" t="s">
        <v>19</v>
      </c>
      <c r="N99" s="6">
        <f t="shared" si="3"/>
        <v>11.40700884670415</v>
      </c>
    </row>
    <row r="100" spans="1:14" x14ac:dyDescent="0.3">
      <c r="A100" s="4" t="s">
        <v>211</v>
      </c>
      <c r="B100" s="4" t="s">
        <v>53</v>
      </c>
      <c r="C100" s="5" t="s">
        <v>212</v>
      </c>
      <c r="D100" s="4" t="s">
        <v>43</v>
      </c>
      <c r="E100" s="6" t="s">
        <v>44</v>
      </c>
      <c r="F100" s="6" t="s">
        <v>45</v>
      </c>
      <c r="G100" s="4">
        <v>12320</v>
      </c>
      <c r="H100" s="4">
        <v>1157</v>
      </c>
      <c r="I100" s="6">
        <v>365</v>
      </c>
      <c r="J100" s="6">
        <v>584</v>
      </c>
      <c r="K100" s="7">
        <v>66634</v>
      </c>
      <c r="L100" s="6">
        <v>210102</v>
      </c>
      <c r="M100" s="4" t="s">
        <v>37</v>
      </c>
      <c r="N100" s="6">
        <f t="shared" si="3"/>
        <v>6.5882285746922928</v>
      </c>
    </row>
    <row r="101" spans="1:14" x14ac:dyDescent="0.3">
      <c r="A101" s="4" t="s">
        <v>213</v>
      </c>
      <c r="B101" s="4" t="s">
        <v>26</v>
      </c>
      <c r="C101" s="5">
        <v>45925</v>
      </c>
      <c r="D101" s="4" t="s">
        <v>16</v>
      </c>
      <c r="E101" s="6" t="s">
        <v>40</v>
      </c>
      <c r="F101" s="6"/>
      <c r="G101" s="4">
        <v>20564</v>
      </c>
      <c r="H101" s="4">
        <v>1433</v>
      </c>
      <c r="I101" s="6">
        <v>488</v>
      </c>
      <c r="J101" s="6">
        <v>1015</v>
      </c>
      <c r="K101" s="7">
        <v>24333</v>
      </c>
      <c r="L101" s="6">
        <v>172130</v>
      </c>
      <c r="M101" s="4" t="s">
        <v>24</v>
      </c>
      <c r="N101" s="6">
        <f t="shared" si="3"/>
        <v>13.062801371056759</v>
      </c>
    </row>
    <row r="102" spans="1:14" x14ac:dyDescent="0.3">
      <c r="A102" s="4" t="s">
        <v>214</v>
      </c>
      <c r="B102" s="4" t="s">
        <v>14</v>
      </c>
      <c r="C102" s="5" t="s">
        <v>215</v>
      </c>
      <c r="D102" s="4" t="s">
        <v>43</v>
      </c>
      <c r="E102" s="6" t="s">
        <v>22</v>
      </c>
      <c r="F102" s="6" t="s">
        <v>23</v>
      </c>
      <c r="G102" s="4">
        <v>6892</v>
      </c>
      <c r="H102" s="4">
        <v>1184</v>
      </c>
      <c r="I102" s="6">
        <v>925</v>
      </c>
      <c r="J102" s="6">
        <v>1062</v>
      </c>
      <c r="K102" s="7">
        <v>75008</v>
      </c>
      <c r="L102" s="6">
        <v>116260</v>
      </c>
      <c r="M102" s="4" t="s">
        <v>63</v>
      </c>
      <c r="N102" s="6">
        <f t="shared" si="3"/>
        <v>7.7421297092723202</v>
      </c>
    </row>
    <row r="103" spans="1:14" x14ac:dyDescent="0.3">
      <c r="A103" s="4" t="s">
        <v>216</v>
      </c>
      <c r="B103" s="4" t="s">
        <v>53</v>
      </c>
      <c r="C103" s="5">
        <v>45926</v>
      </c>
      <c r="D103" s="4" t="s">
        <v>43</v>
      </c>
      <c r="E103" s="6" t="s">
        <v>40</v>
      </c>
      <c r="F103" s="6"/>
      <c r="G103" s="4">
        <v>9043</v>
      </c>
      <c r="H103" s="4">
        <v>1192</v>
      </c>
      <c r="I103" s="6">
        <v>810</v>
      </c>
      <c r="J103" s="6">
        <v>1550</v>
      </c>
      <c r="K103" s="7">
        <v>5221</v>
      </c>
      <c r="L103" s="6">
        <v>199476</v>
      </c>
      <c r="M103" s="4" t="s">
        <v>24</v>
      </c>
      <c r="N103" s="6">
        <f t="shared" si="3"/>
        <v>5.5370069582305641</v>
      </c>
    </row>
    <row r="104" spans="1:14" x14ac:dyDescent="0.3">
      <c r="A104" s="4" t="s">
        <v>217</v>
      </c>
      <c r="B104" s="4" t="s">
        <v>53</v>
      </c>
      <c r="C104" s="5">
        <v>45927</v>
      </c>
      <c r="D104" s="4" t="s">
        <v>28</v>
      </c>
      <c r="E104" s="6" t="s">
        <v>22</v>
      </c>
      <c r="F104" s="6" t="s">
        <v>23</v>
      </c>
      <c r="G104" s="4">
        <v>18521</v>
      </c>
      <c r="H104" s="4">
        <v>1027</v>
      </c>
      <c r="I104" s="6">
        <v>230</v>
      </c>
      <c r="J104" s="6">
        <v>1247</v>
      </c>
      <c r="K104" s="7">
        <v>39588</v>
      </c>
      <c r="L104" s="6">
        <v>200928</v>
      </c>
      <c r="M104" s="4" t="s">
        <v>24</v>
      </c>
      <c r="N104" s="6">
        <f t="shared" si="3"/>
        <v>9.8433269628921813</v>
      </c>
    </row>
    <row r="105" spans="1:14" x14ac:dyDescent="0.3">
      <c r="A105" s="4" t="s">
        <v>218</v>
      </c>
      <c r="B105" s="4" t="s">
        <v>21</v>
      </c>
      <c r="C105" s="5" t="s">
        <v>219</v>
      </c>
      <c r="D105" s="4" t="s">
        <v>16</v>
      </c>
      <c r="E105" s="6" t="s">
        <v>29</v>
      </c>
      <c r="F105" s="6" t="s">
        <v>30</v>
      </c>
      <c r="G105" s="4">
        <v>24711</v>
      </c>
      <c r="H105" s="4">
        <v>882</v>
      </c>
      <c r="I105" s="6">
        <v>876</v>
      </c>
      <c r="J105" s="6">
        <v>2728</v>
      </c>
      <c r="K105" s="7">
        <v>32015</v>
      </c>
      <c r="L105" s="6">
        <v>180272</v>
      </c>
      <c r="M105" s="4" t="s">
        <v>37</v>
      </c>
      <c r="N105" s="6">
        <f t="shared" si="3"/>
        <v>14.68281263867933</v>
      </c>
    </row>
    <row r="106" spans="1:14" x14ac:dyDescent="0.3">
      <c r="A106" s="4" t="s">
        <v>220</v>
      </c>
      <c r="B106" s="4" t="s">
        <v>53</v>
      </c>
      <c r="C106" s="5" t="s">
        <v>221</v>
      </c>
      <c r="D106" s="4" t="s">
        <v>43</v>
      </c>
      <c r="E106" s="6" t="s">
        <v>55</v>
      </c>
      <c r="F106" s="6" t="s">
        <v>56</v>
      </c>
      <c r="G106" s="4">
        <v>21856</v>
      </c>
      <c r="H106" s="4">
        <v>1203</v>
      </c>
      <c r="I106" s="6">
        <v>634</v>
      </c>
      <c r="J106" s="6">
        <v>2807</v>
      </c>
      <c r="K106" s="7">
        <v>3647</v>
      </c>
      <c r="L106" s="6">
        <v>104178</v>
      </c>
      <c r="M106" s="4" t="s">
        <v>37</v>
      </c>
      <c r="N106" s="6">
        <f t="shared" si="3"/>
        <v>22.742805582752595</v>
      </c>
    </row>
    <row r="107" spans="1:14" x14ac:dyDescent="0.3">
      <c r="A107" s="4" t="s">
        <v>222</v>
      </c>
      <c r="B107" s="4" t="s">
        <v>53</v>
      </c>
      <c r="C107" s="5" t="s">
        <v>223</v>
      </c>
      <c r="D107" s="4" t="s">
        <v>43</v>
      </c>
      <c r="E107" s="6" t="s">
        <v>48</v>
      </c>
      <c r="F107" s="6" t="s">
        <v>49</v>
      </c>
      <c r="G107" s="4">
        <v>23833</v>
      </c>
      <c r="H107" s="4">
        <v>555</v>
      </c>
      <c r="I107" s="6">
        <v>523</v>
      </c>
      <c r="J107" s="6">
        <v>1330</v>
      </c>
      <c r="K107" s="7">
        <v>69141</v>
      </c>
      <c r="L107" s="6">
        <v>73997</v>
      </c>
      <c r="M107" s="4" t="s">
        <v>37</v>
      </c>
      <c r="N107" s="6">
        <f t="shared" si="3"/>
        <v>33.664878305877266</v>
      </c>
    </row>
    <row r="108" spans="1:14" x14ac:dyDescent="0.3">
      <c r="A108" s="4" t="s">
        <v>224</v>
      </c>
      <c r="B108" s="4" t="s">
        <v>53</v>
      </c>
      <c r="C108" s="5" t="s">
        <v>225</v>
      </c>
      <c r="D108" s="4" t="s">
        <v>34</v>
      </c>
      <c r="E108" s="6" t="s">
        <v>35</v>
      </c>
      <c r="F108" s="6" t="s">
        <v>36</v>
      </c>
      <c r="G108" s="4">
        <v>21216</v>
      </c>
      <c r="H108" s="4">
        <v>1207</v>
      </c>
      <c r="I108" s="6">
        <v>859</v>
      </c>
      <c r="J108" s="6">
        <v>328</v>
      </c>
      <c r="K108" s="7">
        <v>91296</v>
      </c>
      <c r="L108" s="6">
        <v>196683</v>
      </c>
      <c r="M108" s="4" t="s">
        <v>31</v>
      </c>
      <c r="N108" s="6">
        <f t="shared" si="3"/>
        <v>11.837321985123269</v>
      </c>
    </row>
    <row r="109" spans="1:14" x14ac:dyDescent="0.3">
      <c r="A109" s="4" t="s">
        <v>226</v>
      </c>
      <c r="B109" s="4" t="s">
        <v>21</v>
      </c>
      <c r="C109" s="5">
        <v>45928</v>
      </c>
      <c r="D109" s="4" t="s">
        <v>43</v>
      </c>
      <c r="E109" s="6" t="s">
        <v>48</v>
      </c>
      <c r="F109" s="6" t="s">
        <v>49</v>
      </c>
      <c r="G109" s="4">
        <v>21963</v>
      </c>
      <c r="H109" s="4">
        <v>1356</v>
      </c>
      <c r="I109" s="6">
        <v>349</v>
      </c>
      <c r="J109" s="6">
        <v>1206</v>
      </c>
      <c r="K109" s="7">
        <v>51755</v>
      </c>
      <c r="L109" s="6">
        <v>159273</v>
      </c>
      <c r="M109" s="4" t="s">
        <v>24</v>
      </c>
      <c r="N109" s="6">
        <f t="shared" si="3"/>
        <v>14.860020216860359</v>
      </c>
    </row>
    <row r="110" spans="1:14" x14ac:dyDescent="0.3">
      <c r="A110" s="4" t="s">
        <v>227</v>
      </c>
      <c r="B110" s="4" t="s">
        <v>53</v>
      </c>
      <c r="C110" s="5" t="s">
        <v>228</v>
      </c>
      <c r="D110" s="4" t="s">
        <v>43</v>
      </c>
      <c r="E110" s="6" t="s">
        <v>48</v>
      </c>
      <c r="F110" s="6" t="s">
        <v>49</v>
      </c>
      <c r="G110" s="4">
        <v>24355</v>
      </c>
      <c r="H110" s="4">
        <v>1087</v>
      </c>
      <c r="I110" s="6">
        <v>686</v>
      </c>
      <c r="J110" s="6">
        <v>2426</v>
      </c>
      <c r="K110" s="7">
        <v>24963</v>
      </c>
      <c r="L110" s="6">
        <v>212307</v>
      </c>
      <c r="M110" s="4" t="s">
        <v>19</v>
      </c>
      <c r="N110" s="6">
        <f t="shared" si="3"/>
        <v>12.306706797232311</v>
      </c>
    </row>
    <row r="111" spans="1:14" x14ac:dyDescent="0.3">
      <c r="A111" s="4" t="s">
        <v>229</v>
      </c>
      <c r="B111" s="4" t="s">
        <v>14</v>
      </c>
      <c r="C111" s="5" t="s">
        <v>230</v>
      </c>
      <c r="D111" s="4" t="s">
        <v>34</v>
      </c>
      <c r="E111" s="6" t="s">
        <v>48</v>
      </c>
      <c r="F111" s="6" t="s">
        <v>49</v>
      </c>
      <c r="G111" s="4">
        <v>6164</v>
      </c>
      <c r="H111" s="4">
        <v>326</v>
      </c>
      <c r="I111" s="6">
        <v>615</v>
      </c>
      <c r="J111" s="6">
        <v>2806</v>
      </c>
      <c r="K111" s="7">
        <v>38579</v>
      </c>
      <c r="L111" s="6">
        <v>206129</v>
      </c>
      <c r="M111" s="4" t="s">
        <v>63</v>
      </c>
      <c r="N111" s="6">
        <f t="shared" si="3"/>
        <v>3.4468706489625425</v>
      </c>
    </row>
    <row r="112" spans="1:14" x14ac:dyDescent="0.3">
      <c r="A112" s="4" t="s">
        <v>231</v>
      </c>
      <c r="B112" s="4" t="s">
        <v>21</v>
      </c>
      <c r="C112" s="5" t="s">
        <v>232</v>
      </c>
      <c r="D112" s="4" t="s">
        <v>28</v>
      </c>
      <c r="E112" s="6" t="s">
        <v>40</v>
      </c>
      <c r="F112" s="6"/>
      <c r="G112" s="4">
        <v>9941</v>
      </c>
      <c r="H112" s="4">
        <v>1329</v>
      </c>
      <c r="I112" s="6">
        <v>238</v>
      </c>
      <c r="J112" s="6">
        <v>869</v>
      </c>
      <c r="K112" s="7">
        <v>40281</v>
      </c>
      <c r="L112" s="6">
        <v>172311</v>
      </c>
      <c r="M112" s="4" t="s">
        <v>31</v>
      </c>
      <c r="N112" s="6">
        <f t="shared" si="3"/>
        <v>6.67862179431377</v>
      </c>
    </row>
    <row r="113" spans="1:14" x14ac:dyDescent="0.3">
      <c r="A113" s="4" t="s">
        <v>233</v>
      </c>
      <c r="B113" s="4" t="s">
        <v>14</v>
      </c>
      <c r="C113" s="5" t="s">
        <v>234</v>
      </c>
      <c r="D113" s="4" t="s">
        <v>43</v>
      </c>
      <c r="E113" s="6" t="s">
        <v>22</v>
      </c>
      <c r="F113" s="6" t="s">
        <v>23</v>
      </c>
      <c r="G113" s="4">
        <v>16388</v>
      </c>
      <c r="H113" s="4">
        <v>1208</v>
      </c>
      <c r="I113" s="6">
        <v>417</v>
      </c>
      <c r="J113" s="6">
        <v>2306</v>
      </c>
      <c r="K113" s="7">
        <v>16865</v>
      </c>
      <c r="L113" s="6">
        <v>236733</v>
      </c>
      <c r="M113" s="4" t="s">
        <v>19</v>
      </c>
      <c r="N113" s="6">
        <f t="shared" si="3"/>
        <v>7.608994098837087</v>
      </c>
    </row>
    <row r="114" spans="1:14" x14ac:dyDescent="0.3">
      <c r="A114" s="4" t="s">
        <v>235</v>
      </c>
      <c r="B114" s="4" t="s">
        <v>21</v>
      </c>
      <c r="C114" s="5">
        <v>45929</v>
      </c>
      <c r="D114" s="4" t="s">
        <v>34</v>
      </c>
      <c r="E114" s="6" t="s">
        <v>78</v>
      </c>
      <c r="F114" s="6" t="s">
        <v>40</v>
      </c>
      <c r="G114" s="4">
        <v>7569</v>
      </c>
      <c r="H114" s="4">
        <v>803</v>
      </c>
      <c r="I114" s="6">
        <v>804</v>
      </c>
      <c r="J114" s="6">
        <v>1753</v>
      </c>
      <c r="K114" s="7">
        <v>43582</v>
      </c>
      <c r="L114" s="6">
        <v>166945</v>
      </c>
      <c r="M114" s="4" t="s">
        <v>24</v>
      </c>
      <c r="N114" s="6">
        <f t="shared" si="3"/>
        <v>5.4964209769684631</v>
      </c>
    </row>
    <row r="115" spans="1:14" x14ac:dyDescent="0.3">
      <c r="A115" s="4" t="s">
        <v>236</v>
      </c>
      <c r="B115" s="4" t="s">
        <v>53</v>
      </c>
      <c r="C115" s="5" t="s">
        <v>237</v>
      </c>
      <c r="D115" s="4" t="s">
        <v>16</v>
      </c>
      <c r="E115" s="6" t="s">
        <v>29</v>
      </c>
      <c r="F115" s="6" t="s">
        <v>30</v>
      </c>
      <c r="G115" s="4">
        <v>6300</v>
      </c>
      <c r="H115" s="4">
        <v>1213</v>
      </c>
      <c r="I115" s="6">
        <v>720</v>
      </c>
      <c r="J115" s="6">
        <v>1037</v>
      </c>
      <c r="K115" s="7">
        <v>39569</v>
      </c>
      <c r="L115" s="6">
        <v>85272</v>
      </c>
      <c r="M115" s="4" t="s">
        <v>37</v>
      </c>
      <c r="N115" s="6">
        <f t="shared" si="3"/>
        <v>9.6549863964724647</v>
      </c>
    </row>
    <row r="116" spans="1:14" x14ac:dyDescent="0.3">
      <c r="A116" s="4" t="s">
        <v>238</v>
      </c>
      <c r="B116" s="4" t="s">
        <v>14</v>
      </c>
      <c r="C116" s="5">
        <v>45930</v>
      </c>
      <c r="D116" s="4" t="s">
        <v>28</v>
      </c>
      <c r="E116" s="6" t="s">
        <v>17</v>
      </c>
      <c r="F116" s="6" t="s">
        <v>18</v>
      </c>
      <c r="G116" s="4">
        <v>8269</v>
      </c>
      <c r="H116" s="4">
        <v>250</v>
      </c>
      <c r="I116" s="6">
        <v>638</v>
      </c>
      <c r="J116" s="6">
        <v>815</v>
      </c>
      <c r="K116" s="7">
        <v>41991</v>
      </c>
      <c r="L116" s="6">
        <v>129393</v>
      </c>
      <c r="M116" s="4" t="s">
        <v>24</v>
      </c>
      <c r="N116" s="6">
        <f t="shared" si="3"/>
        <v>7.0768897853825177</v>
      </c>
    </row>
    <row r="117" spans="1:14" x14ac:dyDescent="0.3">
      <c r="A117" s="4" t="s">
        <v>239</v>
      </c>
      <c r="B117" s="4" t="s">
        <v>21</v>
      </c>
      <c r="C117" s="5" t="s">
        <v>240</v>
      </c>
      <c r="D117" s="4" t="s">
        <v>16</v>
      </c>
      <c r="E117" s="6" t="s">
        <v>48</v>
      </c>
      <c r="F117" s="6" t="s">
        <v>49</v>
      </c>
      <c r="G117" s="4">
        <v>5818</v>
      </c>
      <c r="H117" s="4">
        <v>1252</v>
      </c>
      <c r="I117" s="6">
        <v>687</v>
      </c>
      <c r="J117" s="6">
        <v>2300</v>
      </c>
      <c r="K117" s="7">
        <v>25081</v>
      </c>
      <c r="L117" s="6">
        <v>101212</v>
      </c>
      <c r="M117" s="4" t="s">
        <v>63</v>
      </c>
      <c r="N117" s="6">
        <f t="shared" si="3"/>
        <v>7.6641109749832044</v>
      </c>
    </row>
    <row r="118" spans="1:14" x14ac:dyDescent="0.3">
      <c r="A118" s="4" t="s">
        <v>241</v>
      </c>
      <c r="B118" s="4" t="s">
        <v>26</v>
      </c>
      <c r="C118" s="5" t="s">
        <v>242</v>
      </c>
      <c r="D118" s="4" t="s">
        <v>16</v>
      </c>
      <c r="E118" s="6" t="s">
        <v>35</v>
      </c>
      <c r="F118" s="6" t="s">
        <v>70</v>
      </c>
      <c r="G118" s="4">
        <v>14015</v>
      </c>
      <c r="H118" s="4">
        <v>978</v>
      </c>
      <c r="I118" s="6">
        <v>196</v>
      </c>
      <c r="J118" s="6">
        <v>2744</v>
      </c>
      <c r="K118" s="7">
        <v>20190</v>
      </c>
      <c r="L118" s="6">
        <v>186470</v>
      </c>
      <c r="M118" s="4" t="s">
        <v>31</v>
      </c>
      <c r="N118" s="6">
        <f t="shared" si="3"/>
        <v>8.1455462004611991</v>
      </c>
    </row>
    <row r="119" spans="1:14" x14ac:dyDescent="0.3">
      <c r="A119" s="4" t="s">
        <v>243</v>
      </c>
      <c r="B119" s="4" t="s">
        <v>53</v>
      </c>
      <c r="C119" s="5" t="s">
        <v>242</v>
      </c>
      <c r="D119" s="4" t="s">
        <v>34</v>
      </c>
      <c r="E119" s="6" t="s">
        <v>40</v>
      </c>
      <c r="F119" s="6"/>
      <c r="G119" s="4">
        <v>14234</v>
      </c>
      <c r="H119" s="4">
        <v>1013</v>
      </c>
      <c r="I119" s="6">
        <v>437</v>
      </c>
      <c r="J119" s="6">
        <v>338</v>
      </c>
      <c r="K119" s="7">
        <v>67754</v>
      </c>
      <c r="L119" s="6">
        <v>160030</v>
      </c>
      <c r="M119" s="4" t="s">
        <v>31</v>
      </c>
      <c r="N119" s="6">
        <f t="shared" si="3"/>
        <v>9.8006623758045368</v>
      </c>
    </row>
    <row r="120" spans="1:14" x14ac:dyDescent="0.3">
      <c r="A120" s="4" t="s">
        <v>244</v>
      </c>
      <c r="B120" s="4" t="s">
        <v>21</v>
      </c>
      <c r="C120" s="5" t="s">
        <v>245</v>
      </c>
      <c r="D120" s="4" t="s">
        <v>43</v>
      </c>
      <c r="E120" s="6" t="s">
        <v>177</v>
      </c>
      <c r="F120" s="6" t="s">
        <v>178</v>
      </c>
      <c r="G120" s="4">
        <v>20290</v>
      </c>
      <c r="H120" s="4">
        <v>619</v>
      </c>
      <c r="I120" s="6">
        <v>927</v>
      </c>
      <c r="J120" s="6">
        <v>1186</v>
      </c>
      <c r="K120" s="7">
        <v>8924</v>
      </c>
      <c r="L120" s="6">
        <v>96503</v>
      </c>
      <c r="M120" s="4" t="s">
        <v>63</v>
      </c>
      <c r="N120" s="6">
        <f>(G120+H120+I120)/L120*100</f>
        <v>22.627275835984374</v>
      </c>
    </row>
    <row r="121" spans="1:14" x14ac:dyDescent="0.3">
      <c r="A121" s="4" t="s">
        <v>246</v>
      </c>
      <c r="B121" s="4" t="s">
        <v>26</v>
      </c>
      <c r="C121" s="5" t="s">
        <v>138</v>
      </c>
      <c r="D121" s="4" t="s">
        <v>34</v>
      </c>
      <c r="E121" s="6" t="s">
        <v>35</v>
      </c>
      <c r="F121" s="6" t="s">
        <v>36</v>
      </c>
      <c r="G121" s="4">
        <v>8254</v>
      </c>
      <c r="H121" s="4">
        <v>1405</v>
      </c>
      <c r="I121" s="6">
        <v>165</v>
      </c>
      <c r="J121" s="6">
        <v>2504</v>
      </c>
      <c r="K121" s="7">
        <v>8081</v>
      </c>
      <c r="L121" s="6">
        <v>177710</v>
      </c>
      <c r="M121" s="4" t="s">
        <v>19</v>
      </c>
      <c r="N121" s="6">
        <f t="shared" ref="N121:N145" si="4">(G121+H121+I121)/L121*100</f>
        <v>5.5281075910190758</v>
      </c>
    </row>
    <row r="122" spans="1:14" x14ac:dyDescent="0.3">
      <c r="A122" s="4" t="s">
        <v>247</v>
      </c>
      <c r="B122" s="4" t="s">
        <v>21</v>
      </c>
      <c r="C122" s="5" t="s">
        <v>230</v>
      </c>
      <c r="D122" s="4" t="s">
        <v>34</v>
      </c>
      <c r="E122" s="6" t="s">
        <v>17</v>
      </c>
      <c r="F122" s="6" t="s">
        <v>18</v>
      </c>
      <c r="G122" s="4">
        <v>19144</v>
      </c>
      <c r="H122" s="4">
        <v>1182</v>
      </c>
      <c r="I122" s="6">
        <v>860</v>
      </c>
      <c r="J122" s="6">
        <v>1398</v>
      </c>
      <c r="K122" s="7">
        <v>4185</v>
      </c>
      <c r="L122" s="6">
        <v>46570</v>
      </c>
      <c r="M122" s="4" t="s">
        <v>19</v>
      </c>
      <c r="N122" s="6">
        <f t="shared" si="4"/>
        <v>45.492806527807602</v>
      </c>
    </row>
    <row r="123" spans="1:14" x14ac:dyDescent="0.3">
      <c r="A123" s="4" t="s">
        <v>248</v>
      </c>
      <c r="B123" s="4" t="s">
        <v>26</v>
      </c>
      <c r="C123" s="5" t="s">
        <v>249</v>
      </c>
      <c r="D123" s="4" t="s">
        <v>34</v>
      </c>
      <c r="E123" s="6" t="s">
        <v>78</v>
      </c>
      <c r="F123" s="6" t="s">
        <v>40</v>
      </c>
      <c r="G123" s="4">
        <v>9350</v>
      </c>
      <c r="H123" s="4">
        <v>1024</v>
      </c>
      <c r="I123" s="6">
        <v>550</v>
      </c>
      <c r="J123" s="6">
        <v>2123</v>
      </c>
      <c r="K123" s="7">
        <v>53916</v>
      </c>
      <c r="L123" s="6">
        <v>108785</v>
      </c>
      <c r="M123" s="4" t="s">
        <v>31</v>
      </c>
      <c r="N123" s="6">
        <f t="shared" si="4"/>
        <v>10.041825619340901</v>
      </c>
    </row>
    <row r="124" spans="1:14" x14ac:dyDescent="0.3">
      <c r="A124" s="4" t="s">
        <v>250</v>
      </c>
      <c r="B124" s="4" t="s">
        <v>53</v>
      </c>
      <c r="C124" s="5" t="s">
        <v>221</v>
      </c>
      <c r="D124" s="4" t="s">
        <v>34</v>
      </c>
      <c r="E124" s="6" t="s">
        <v>35</v>
      </c>
      <c r="F124" s="6" t="s">
        <v>70</v>
      </c>
      <c r="G124" s="4">
        <v>17183</v>
      </c>
      <c r="H124" s="4">
        <v>1224</v>
      </c>
      <c r="I124" s="6">
        <v>943</v>
      </c>
      <c r="J124" s="6">
        <v>2010</v>
      </c>
      <c r="K124" s="7">
        <v>21481</v>
      </c>
      <c r="L124" s="6">
        <v>49110</v>
      </c>
      <c r="M124" s="4" t="s">
        <v>31</v>
      </c>
      <c r="N124" s="6">
        <f t="shared" si="4"/>
        <v>39.401343921808184</v>
      </c>
    </row>
    <row r="125" spans="1:14" x14ac:dyDescent="0.3">
      <c r="A125" s="4" t="s">
        <v>251</v>
      </c>
      <c r="B125" s="4" t="s">
        <v>14</v>
      </c>
      <c r="C125" s="5" t="s">
        <v>252</v>
      </c>
      <c r="D125" s="4" t="s">
        <v>28</v>
      </c>
      <c r="E125" s="6" t="s">
        <v>78</v>
      </c>
      <c r="F125" s="6" t="s">
        <v>40</v>
      </c>
      <c r="G125" s="4">
        <v>8238</v>
      </c>
      <c r="H125" s="4">
        <v>766</v>
      </c>
      <c r="I125" s="6">
        <v>235</v>
      </c>
      <c r="J125" s="6">
        <v>1273</v>
      </c>
      <c r="K125" s="7">
        <v>4706</v>
      </c>
      <c r="L125" s="6">
        <v>119141</v>
      </c>
      <c r="M125" s="4" t="s">
        <v>37</v>
      </c>
      <c r="N125" s="6">
        <f t="shared" si="4"/>
        <v>7.7546772311798629</v>
      </c>
    </row>
    <row r="126" spans="1:14" x14ac:dyDescent="0.3">
      <c r="A126" s="4" t="s">
        <v>253</v>
      </c>
      <c r="B126" s="4" t="s">
        <v>26</v>
      </c>
      <c r="C126" s="5" t="s">
        <v>254</v>
      </c>
      <c r="D126" s="4" t="s">
        <v>43</v>
      </c>
      <c r="E126" s="6" t="s">
        <v>17</v>
      </c>
      <c r="F126" s="6" t="s">
        <v>18</v>
      </c>
      <c r="G126" s="4">
        <v>8090</v>
      </c>
      <c r="H126" s="4">
        <v>570</v>
      </c>
      <c r="I126" s="6">
        <v>399</v>
      </c>
      <c r="J126" s="6">
        <v>1862</v>
      </c>
      <c r="K126" s="7">
        <v>34088</v>
      </c>
      <c r="L126" s="6">
        <v>52115</v>
      </c>
      <c r="M126" s="4" t="s">
        <v>19</v>
      </c>
      <c r="N126" s="6">
        <f t="shared" si="4"/>
        <v>17.382711311522595</v>
      </c>
    </row>
    <row r="127" spans="1:14" x14ac:dyDescent="0.3">
      <c r="A127" s="4" t="s">
        <v>255</v>
      </c>
      <c r="B127" s="4" t="s">
        <v>21</v>
      </c>
      <c r="C127" s="5" t="s">
        <v>152</v>
      </c>
      <c r="D127" s="4" t="s">
        <v>16</v>
      </c>
      <c r="E127" s="6" t="s">
        <v>48</v>
      </c>
      <c r="F127" s="6" t="s">
        <v>49</v>
      </c>
      <c r="G127" s="4">
        <v>13637</v>
      </c>
      <c r="H127" s="4">
        <v>1135</v>
      </c>
      <c r="I127" s="6">
        <v>540</v>
      </c>
      <c r="J127" s="6">
        <v>1288</v>
      </c>
      <c r="K127" s="7">
        <v>45183</v>
      </c>
      <c r="L127" s="6">
        <v>79062</v>
      </c>
      <c r="M127" s="4" t="s">
        <v>63</v>
      </c>
      <c r="N127" s="6">
        <f t="shared" si="4"/>
        <v>19.367079001290126</v>
      </c>
    </row>
    <row r="128" spans="1:14" x14ac:dyDescent="0.3">
      <c r="A128" s="4" t="s">
        <v>256</v>
      </c>
      <c r="B128" s="4" t="s">
        <v>53</v>
      </c>
      <c r="C128" s="5" t="s">
        <v>190</v>
      </c>
      <c r="D128" s="4" t="s">
        <v>16</v>
      </c>
      <c r="E128" s="6" t="s">
        <v>35</v>
      </c>
      <c r="F128" s="6" t="s">
        <v>70</v>
      </c>
      <c r="G128" s="4">
        <v>24415</v>
      </c>
      <c r="H128" s="4">
        <v>860</v>
      </c>
      <c r="I128" s="6">
        <v>931</v>
      </c>
      <c r="J128" s="6">
        <v>320</v>
      </c>
      <c r="K128" s="7">
        <v>65049</v>
      </c>
      <c r="L128" s="6">
        <v>62911</v>
      </c>
      <c r="M128" s="4" t="s">
        <v>19</v>
      </c>
      <c r="N128" s="6">
        <f t="shared" si="4"/>
        <v>41.655672298962024</v>
      </c>
    </row>
    <row r="129" spans="1:14" x14ac:dyDescent="0.3">
      <c r="A129" s="4" t="s">
        <v>257</v>
      </c>
      <c r="B129" s="4" t="s">
        <v>26</v>
      </c>
      <c r="C129" s="5" t="s">
        <v>258</v>
      </c>
      <c r="D129" s="4" t="s">
        <v>43</v>
      </c>
      <c r="E129" s="6" t="s">
        <v>78</v>
      </c>
      <c r="F129" s="6" t="s">
        <v>40</v>
      </c>
      <c r="G129" s="4">
        <v>14647</v>
      </c>
      <c r="H129" s="4">
        <v>1168</v>
      </c>
      <c r="I129" s="6">
        <v>484</v>
      </c>
      <c r="J129" s="6">
        <v>2650</v>
      </c>
      <c r="K129" s="7">
        <v>27217</v>
      </c>
      <c r="L129" s="6">
        <v>144061</v>
      </c>
      <c r="M129" s="4" t="s">
        <v>37</v>
      </c>
      <c r="N129" s="6">
        <f t="shared" si="4"/>
        <v>11.313957281984715</v>
      </c>
    </row>
    <row r="130" spans="1:14" x14ac:dyDescent="0.3">
      <c r="A130" s="4" t="s">
        <v>259</v>
      </c>
      <c r="B130" s="4" t="s">
        <v>21</v>
      </c>
      <c r="C130" s="5" t="s">
        <v>60</v>
      </c>
      <c r="D130" s="4" t="s">
        <v>16</v>
      </c>
      <c r="E130" s="6" t="s">
        <v>35</v>
      </c>
      <c r="F130" s="6" t="s">
        <v>36</v>
      </c>
      <c r="G130" s="4">
        <v>11911</v>
      </c>
      <c r="H130" s="4">
        <v>1360</v>
      </c>
      <c r="I130" s="6">
        <v>778</v>
      </c>
      <c r="J130" s="6">
        <v>1168</v>
      </c>
      <c r="K130" s="7">
        <v>16483</v>
      </c>
      <c r="L130" s="6">
        <v>72556</v>
      </c>
      <c r="M130" s="4" t="s">
        <v>31</v>
      </c>
      <c r="N130" s="6">
        <f t="shared" si="4"/>
        <v>19.362974805667346</v>
      </c>
    </row>
    <row r="131" spans="1:14" x14ac:dyDescent="0.3">
      <c r="A131" s="4" t="s">
        <v>260</v>
      </c>
      <c r="B131" s="4" t="s">
        <v>21</v>
      </c>
      <c r="C131" s="5" t="s">
        <v>261</v>
      </c>
      <c r="D131" s="4" t="s">
        <v>43</v>
      </c>
      <c r="E131" s="6" t="s">
        <v>22</v>
      </c>
      <c r="F131" s="6" t="s">
        <v>23</v>
      </c>
      <c r="G131" s="4">
        <v>10472</v>
      </c>
      <c r="H131" s="4">
        <v>401</v>
      </c>
      <c r="I131" s="6">
        <v>668</v>
      </c>
      <c r="J131" s="6">
        <v>383</v>
      </c>
      <c r="K131" s="7">
        <v>37571</v>
      </c>
      <c r="L131" s="6">
        <v>249203</v>
      </c>
      <c r="M131" s="4" t="s">
        <v>31</v>
      </c>
      <c r="N131" s="6">
        <f t="shared" si="4"/>
        <v>4.6311641513143904</v>
      </c>
    </row>
    <row r="132" spans="1:14" x14ac:dyDescent="0.3">
      <c r="A132" s="4" t="s">
        <v>262</v>
      </c>
      <c r="B132" s="4" t="s">
        <v>21</v>
      </c>
      <c r="C132" s="5" t="s">
        <v>138</v>
      </c>
      <c r="D132" s="4" t="s">
        <v>16</v>
      </c>
      <c r="E132" s="6" t="s">
        <v>55</v>
      </c>
      <c r="F132" s="6" t="s">
        <v>56</v>
      </c>
      <c r="G132" s="4">
        <v>20271</v>
      </c>
      <c r="H132" s="4">
        <v>512</v>
      </c>
      <c r="I132" s="6">
        <v>286</v>
      </c>
      <c r="J132" s="6">
        <v>1982</v>
      </c>
      <c r="K132" s="7">
        <v>43225</v>
      </c>
      <c r="L132" s="6">
        <v>168335</v>
      </c>
      <c r="M132" s="4" t="s">
        <v>37</v>
      </c>
      <c r="N132" s="6">
        <f t="shared" si="4"/>
        <v>12.516113701844537</v>
      </c>
    </row>
    <row r="133" spans="1:14" x14ac:dyDescent="0.3">
      <c r="A133" s="4" t="s">
        <v>263</v>
      </c>
      <c r="B133" s="4" t="s">
        <v>26</v>
      </c>
      <c r="C133" s="5" t="s">
        <v>91</v>
      </c>
      <c r="D133" s="4" t="s">
        <v>34</v>
      </c>
      <c r="E133" s="6" t="s">
        <v>22</v>
      </c>
      <c r="F133" s="6" t="s">
        <v>23</v>
      </c>
      <c r="G133" s="4">
        <v>5266</v>
      </c>
      <c r="H133" s="4">
        <v>316</v>
      </c>
      <c r="I133" s="6">
        <v>837</v>
      </c>
      <c r="J133" s="6">
        <v>2276</v>
      </c>
      <c r="K133" s="7">
        <v>20967</v>
      </c>
      <c r="L133" s="6">
        <v>41969</v>
      </c>
      <c r="M133" s="4" t="s">
        <v>63</v>
      </c>
      <c r="N133" s="6">
        <f t="shared" si="4"/>
        <v>15.294622221163239</v>
      </c>
    </row>
    <row r="134" spans="1:14" x14ac:dyDescent="0.3">
      <c r="A134" s="4" t="s">
        <v>264</v>
      </c>
      <c r="B134" s="4" t="s">
        <v>26</v>
      </c>
      <c r="C134" s="5" t="s">
        <v>265</v>
      </c>
      <c r="D134" s="4" t="s">
        <v>16</v>
      </c>
      <c r="E134" s="6" t="s">
        <v>17</v>
      </c>
      <c r="F134" s="6" t="s">
        <v>18</v>
      </c>
      <c r="G134" s="4">
        <v>2666</v>
      </c>
      <c r="H134" s="4">
        <v>1136</v>
      </c>
      <c r="I134" s="6">
        <v>989</v>
      </c>
      <c r="J134" s="6">
        <v>1710</v>
      </c>
      <c r="K134" s="7">
        <v>36467</v>
      </c>
      <c r="L134" s="6">
        <v>83753</v>
      </c>
      <c r="M134" s="4" t="s">
        <v>31</v>
      </c>
      <c r="N134" s="6">
        <f t="shared" si="4"/>
        <v>5.72039210535742</v>
      </c>
    </row>
    <row r="135" spans="1:14" x14ac:dyDescent="0.3">
      <c r="A135" s="4" t="s">
        <v>266</v>
      </c>
      <c r="B135" s="4" t="s">
        <v>26</v>
      </c>
      <c r="C135" s="5">
        <v>45931</v>
      </c>
      <c r="D135" s="4" t="s">
        <v>43</v>
      </c>
      <c r="E135" s="6" t="s">
        <v>40</v>
      </c>
      <c r="F135" s="6"/>
      <c r="G135" s="4">
        <v>6188</v>
      </c>
      <c r="H135" s="4">
        <v>774</v>
      </c>
      <c r="I135" s="6">
        <v>647</v>
      </c>
      <c r="J135" s="6">
        <v>1830</v>
      </c>
      <c r="K135" s="7">
        <v>55436</v>
      </c>
      <c r="L135" s="6">
        <v>175542</v>
      </c>
      <c r="M135" s="4" t="s">
        <v>24</v>
      </c>
      <c r="N135" s="6">
        <f t="shared" si="4"/>
        <v>4.3345752013763086</v>
      </c>
    </row>
    <row r="136" spans="1:14" x14ac:dyDescent="0.3">
      <c r="A136" s="4" t="s">
        <v>267</v>
      </c>
      <c r="B136" s="4" t="s">
        <v>14</v>
      </c>
      <c r="C136" s="5" t="s">
        <v>268</v>
      </c>
      <c r="D136" s="4" t="s">
        <v>43</v>
      </c>
      <c r="E136" s="6" t="s">
        <v>55</v>
      </c>
      <c r="F136" s="6" t="s">
        <v>56</v>
      </c>
      <c r="G136" s="4">
        <v>19055</v>
      </c>
      <c r="H136" s="4">
        <v>443</v>
      </c>
      <c r="I136" s="6">
        <v>976</v>
      </c>
      <c r="J136" s="6">
        <v>869</v>
      </c>
      <c r="K136" s="7">
        <v>75437</v>
      </c>
      <c r="L136" s="6">
        <v>161863</v>
      </c>
      <c r="M136" s="4" t="s">
        <v>31</v>
      </c>
      <c r="N136" s="6">
        <f t="shared" si="4"/>
        <v>12.648968572187592</v>
      </c>
    </row>
    <row r="137" spans="1:14" x14ac:dyDescent="0.3">
      <c r="A137" s="4" t="s">
        <v>269</v>
      </c>
      <c r="B137" s="4" t="s">
        <v>26</v>
      </c>
      <c r="C137" s="5">
        <v>45932</v>
      </c>
      <c r="D137" s="4" t="s">
        <v>43</v>
      </c>
      <c r="E137" s="6" t="s">
        <v>29</v>
      </c>
      <c r="F137" s="6" t="s">
        <v>30</v>
      </c>
      <c r="G137" s="4">
        <v>12161</v>
      </c>
      <c r="H137" s="4">
        <v>736</v>
      </c>
      <c r="I137" s="6">
        <v>876</v>
      </c>
      <c r="J137" s="6">
        <v>1233</v>
      </c>
      <c r="K137" s="7">
        <v>21337</v>
      </c>
      <c r="L137" s="6">
        <v>50225</v>
      </c>
      <c r="M137" s="4" t="s">
        <v>24</v>
      </c>
      <c r="N137" s="6">
        <f t="shared" si="4"/>
        <v>27.422598307615729</v>
      </c>
    </row>
    <row r="138" spans="1:14" x14ac:dyDescent="0.3">
      <c r="A138" s="4" t="s">
        <v>270</v>
      </c>
      <c r="B138" s="4" t="s">
        <v>26</v>
      </c>
      <c r="C138" s="5" t="s">
        <v>99</v>
      </c>
      <c r="D138" s="4" t="s">
        <v>43</v>
      </c>
      <c r="E138" s="6" t="s">
        <v>35</v>
      </c>
      <c r="F138" s="6" t="s">
        <v>36</v>
      </c>
      <c r="G138" s="4">
        <v>13314</v>
      </c>
      <c r="H138" s="4">
        <v>274</v>
      </c>
      <c r="I138" s="6">
        <v>626</v>
      </c>
      <c r="J138" s="6">
        <v>2280</v>
      </c>
      <c r="K138" s="7">
        <v>14639</v>
      </c>
      <c r="L138" s="6">
        <v>163008</v>
      </c>
      <c r="M138" s="4" t="s">
        <v>37</v>
      </c>
      <c r="N138" s="6">
        <f t="shared" si="4"/>
        <v>8.7198174322732616</v>
      </c>
    </row>
    <row r="139" spans="1:14" x14ac:dyDescent="0.3">
      <c r="A139" s="4" t="s">
        <v>271</v>
      </c>
      <c r="B139" s="4" t="s">
        <v>26</v>
      </c>
      <c r="C139" s="5" t="s">
        <v>156</v>
      </c>
      <c r="D139" s="4" t="s">
        <v>43</v>
      </c>
      <c r="E139" s="6" t="s">
        <v>29</v>
      </c>
      <c r="F139" s="6" t="s">
        <v>30</v>
      </c>
      <c r="G139" s="4">
        <v>23508</v>
      </c>
      <c r="H139" s="4">
        <v>585</v>
      </c>
      <c r="I139" s="6">
        <v>743</v>
      </c>
      <c r="J139" s="6">
        <v>2155</v>
      </c>
      <c r="K139" s="7">
        <v>3704</v>
      </c>
      <c r="L139" s="6">
        <v>194268</v>
      </c>
      <c r="M139" s="4" t="s">
        <v>37</v>
      </c>
      <c r="N139" s="6">
        <f t="shared" si="4"/>
        <v>12.78440093067309</v>
      </c>
    </row>
    <row r="140" spans="1:14" x14ac:dyDescent="0.3">
      <c r="A140" s="4" t="s">
        <v>272</v>
      </c>
      <c r="B140" s="4" t="s">
        <v>14</v>
      </c>
      <c r="C140" s="5" t="s">
        <v>273</v>
      </c>
      <c r="D140" s="4" t="s">
        <v>28</v>
      </c>
      <c r="E140" s="6" t="s">
        <v>35</v>
      </c>
      <c r="F140" s="6" t="s">
        <v>70</v>
      </c>
      <c r="G140" s="4">
        <v>23969</v>
      </c>
      <c r="H140" s="4">
        <v>1433</v>
      </c>
      <c r="I140" s="6">
        <v>372</v>
      </c>
      <c r="J140" s="6">
        <v>1092</v>
      </c>
      <c r="K140" s="7">
        <v>32147</v>
      </c>
      <c r="L140" s="6">
        <v>145823</v>
      </c>
      <c r="M140" s="4" t="s">
        <v>31</v>
      </c>
      <c r="N140" s="6">
        <f t="shared" si="4"/>
        <v>17.674852389540742</v>
      </c>
    </row>
    <row r="141" spans="1:14" x14ac:dyDescent="0.3">
      <c r="A141" s="4" t="s">
        <v>274</v>
      </c>
      <c r="B141" s="4" t="s">
        <v>26</v>
      </c>
      <c r="C141" s="5" t="s">
        <v>275</v>
      </c>
      <c r="D141" s="4" t="s">
        <v>28</v>
      </c>
      <c r="E141" s="6" t="s">
        <v>44</v>
      </c>
      <c r="F141" s="6" t="s">
        <v>45</v>
      </c>
      <c r="G141" s="4">
        <v>14891</v>
      </c>
      <c r="H141" s="4">
        <v>674</v>
      </c>
      <c r="I141" s="6">
        <v>521</v>
      </c>
      <c r="J141" s="6">
        <v>1091</v>
      </c>
      <c r="K141" s="7">
        <v>18101</v>
      </c>
      <c r="L141" s="6">
        <v>53669</v>
      </c>
      <c r="M141" s="4" t="s">
        <v>19</v>
      </c>
      <c r="N141" s="6">
        <f t="shared" si="4"/>
        <v>29.972609886526673</v>
      </c>
    </row>
    <row r="142" spans="1:14" x14ac:dyDescent="0.3">
      <c r="A142" s="4" t="s">
        <v>276</v>
      </c>
      <c r="B142" s="4" t="s">
        <v>21</v>
      </c>
      <c r="C142" s="5">
        <v>45933</v>
      </c>
      <c r="D142" s="4" t="s">
        <v>16</v>
      </c>
      <c r="E142" s="6" t="s">
        <v>55</v>
      </c>
      <c r="F142" s="6" t="s">
        <v>56</v>
      </c>
      <c r="G142" s="4">
        <v>6777</v>
      </c>
      <c r="H142" s="4">
        <v>617</v>
      </c>
      <c r="I142" s="6">
        <v>551</v>
      </c>
      <c r="J142" s="6">
        <v>2109</v>
      </c>
      <c r="K142" s="7">
        <v>18559</v>
      </c>
      <c r="L142" s="6">
        <v>208452</v>
      </c>
      <c r="M142" s="4" t="s">
        <v>24</v>
      </c>
      <c r="N142" s="6">
        <f t="shared" si="4"/>
        <v>3.8114290100358836</v>
      </c>
    </row>
    <row r="143" spans="1:14" x14ac:dyDescent="0.3">
      <c r="A143" s="4" t="s">
        <v>277</v>
      </c>
      <c r="B143" s="4" t="s">
        <v>26</v>
      </c>
      <c r="C143" s="5" t="s">
        <v>278</v>
      </c>
      <c r="D143" s="4" t="s">
        <v>43</v>
      </c>
      <c r="E143" s="6" t="s">
        <v>29</v>
      </c>
      <c r="F143" s="6" t="s">
        <v>30</v>
      </c>
      <c r="G143" s="4">
        <v>5900</v>
      </c>
      <c r="H143" s="4">
        <v>546</v>
      </c>
      <c r="I143" s="6">
        <v>592</v>
      </c>
      <c r="J143" s="6">
        <v>1594</v>
      </c>
      <c r="K143" s="7">
        <v>38627</v>
      </c>
      <c r="L143" s="6">
        <v>164398</v>
      </c>
      <c r="M143" s="4" t="s">
        <v>63</v>
      </c>
      <c r="N143" s="6">
        <f t="shared" si="4"/>
        <v>4.2810739790021781</v>
      </c>
    </row>
    <row r="144" spans="1:14" x14ac:dyDescent="0.3">
      <c r="A144" s="4" t="s">
        <v>279</v>
      </c>
      <c r="B144" s="4" t="s">
        <v>21</v>
      </c>
      <c r="C144" s="5" t="s">
        <v>249</v>
      </c>
      <c r="D144" s="4" t="s">
        <v>16</v>
      </c>
      <c r="E144" s="6" t="s">
        <v>29</v>
      </c>
      <c r="F144" s="6" t="s">
        <v>30</v>
      </c>
      <c r="G144" s="4">
        <v>15716</v>
      </c>
      <c r="H144" s="4">
        <v>839</v>
      </c>
      <c r="I144" s="6">
        <v>639</v>
      </c>
      <c r="J144" s="6">
        <v>2839</v>
      </c>
      <c r="K144" s="7">
        <v>349</v>
      </c>
      <c r="L144" s="6">
        <v>150677</v>
      </c>
      <c r="M144" s="4" t="s">
        <v>31</v>
      </c>
      <c r="N144" s="6">
        <f t="shared" si="4"/>
        <v>11.411164278556116</v>
      </c>
    </row>
    <row r="145" spans="1:14" x14ac:dyDescent="0.3">
      <c r="A145" s="4" t="s">
        <v>280</v>
      </c>
      <c r="B145" s="4" t="s">
        <v>21</v>
      </c>
      <c r="C145" s="5" t="s">
        <v>169</v>
      </c>
      <c r="D145" s="4" t="s">
        <v>43</v>
      </c>
      <c r="E145" s="6" t="s">
        <v>78</v>
      </c>
      <c r="F145" s="6" t="s">
        <v>40</v>
      </c>
      <c r="G145" s="4">
        <v>8981</v>
      </c>
      <c r="H145" s="4">
        <v>1138</v>
      </c>
      <c r="I145" s="6">
        <v>764</v>
      </c>
      <c r="J145" s="6">
        <v>2555</v>
      </c>
      <c r="K145" s="7">
        <v>92810</v>
      </c>
      <c r="L145" s="6">
        <v>88320</v>
      </c>
      <c r="M145" s="4" t="s">
        <v>63</v>
      </c>
      <c r="N145" s="6">
        <f t="shared" si="4"/>
        <v>12.32223731884058</v>
      </c>
    </row>
    <row r="146" spans="1:14" x14ac:dyDescent="0.3">
      <c r="A146" s="4" t="s">
        <v>281</v>
      </c>
      <c r="B146" s="4" t="s">
        <v>21</v>
      </c>
      <c r="C146" s="5" t="s">
        <v>33</v>
      </c>
      <c r="D146" s="4" t="s">
        <v>43</v>
      </c>
      <c r="E146" s="6" t="s">
        <v>22</v>
      </c>
      <c r="F146" s="6" t="s">
        <v>23</v>
      </c>
      <c r="G146" s="4">
        <v>8376</v>
      </c>
      <c r="H146" s="4">
        <v>1154</v>
      </c>
      <c r="I146" s="6">
        <v>422</v>
      </c>
      <c r="J146" s="6">
        <v>1907</v>
      </c>
      <c r="K146" s="7">
        <v>36874</v>
      </c>
      <c r="L146" s="6">
        <v>218486</v>
      </c>
      <c r="M146" s="4" t="s">
        <v>31</v>
      </c>
      <c r="N146" s="6">
        <f>(G146+H146+I146)/L146*100</f>
        <v>4.5549829279679246</v>
      </c>
    </row>
    <row r="147" spans="1:14" x14ac:dyDescent="0.3">
      <c r="A147" s="4" t="s">
        <v>282</v>
      </c>
      <c r="B147" s="4" t="s">
        <v>14</v>
      </c>
      <c r="C147" s="5" t="s">
        <v>283</v>
      </c>
      <c r="D147" s="4" t="s">
        <v>28</v>
      </c>
      <c r="E147" s="6" t="s">
        <v>78</v>
      </c>
      <c r="F147" s="6" t="s">
        <v>40</v>
      </c>
      <c r="G147" s="4">
        <v>18907</v>
      </c>
      <c r="H147" s="4">
        <v>1075</v>
      </c>
      <c r="I147" s="6">
        <v>675</v>
      </c>
      <c r="J147" s="6">
        <v>1383</v>
      </c>
      <c r="K147" s="7">
        <v>17875</v>
      </c>
      <c r="L147" s="6">
        <v>186649</v>
      </c>
      <c r="M147" s="4" t="s">
        <v>19</v>
      </c>
      <c r="N147" s="6">
        <f>(G147+H147+I147)/L147*100</f>
        <v>11.067297440650634</v>
      </c>
    </row>
    <row r="148" spans="1:14" x14ac:dyDescent="0.3">
      <c r="A148" s="4" t="s">
        <v>284</v>
      </c>
      <c r="B148" s="4" t="s">
        <v>14</v>
      </c>
      <c r="C148" s="5" t="s">
        <v>138</v>
      </c>
      <c r="D148" s="4" t="s">
        <v>28</v>
      </c>
      <c r="E148" s="6" t="s">
        <v>55</v>
      </c>
      <c r="F148" s="6" t="s">
        <v>56</v>
      </c>
      <c r="G148" s="4">
        <v>20777</v>
      </c>
      <c r="H148" s="4">
        <v>962</v>
      </c>
      <c r="I148" s="6">
        <v>308</v>
      </c>
      <c r="J148" s="6">
        <v>2777</v>
      </c>
      <c r="K148" s="7">
        <v>25529</v>
      </c>
      <c r="L148" s="6">
        <v>165354</v>
      </c>
      <c r="M148" s="4" t="s">
        <v>19</v>
      </c>
      <c r="N148" s="6">
        <f t="shared" ref="N148:N172" si="5">(G148+H148+I148)/L148*100</f>
        <v>13.333212380710476</v>
      </c>
    </row>
    <row r="149" spans="1:14" x14ac:dyDescent="0.3">
      <c r="A149" s="4" t="s">
        <v>285</v>
      </c>
      <c r="B149" s="4" t="s">
        <v>14</v>
      </c>
      <c r="C149" s="5" t="s">
        <v>140</v>
      </c>
      <c r="D149" s="4" t="s">
        <v>34</v>
      </c>
      <c r="E149" s="6" t="s">
        <v>55</v>
      </c>
      <c r="F149" s="6" t="s">
        <v>56</v>
      </c>
      <c r="G149" s="4">
        <v>20977</v>
      </c>
      <c r="H149" s="4">
        <v>1402</v>
      </c>
      <c r="I149" s="6">
        <v>301</v>
      </c>
      <c r="J149" s="6">
        <v>1284</v>
      </c>
      <c r="K149" s="7">
        <v>24620</v>
      </c>
      <c r="L149" s="6">
        <v>128009</v>
      </c>
      <c r="M149" s="4" t="s">
        <v>19</v>
      </c>
      <c r="N149" s="6">
        <f t="shared" si="5"/>
        <v>17.717504237983267</v>
      </c>
    </row>
    <row r="150" spans="1:14" x14ac:dyDescent="0.3">
      <c r="A150" s="4" t="s">
        <v>286</v>
      </c>
      <c r="B150" s="4" t="s">
        <v>26</v>
      </c>
      <c r="C150" s="5" t="s">
        <v>287</v>
      </c>
      <c r="D150" s="4" t="s">
        <v>28</v>
      </c>
      <c r="E150" s="6" t="s">
        <v>17</v>
      </c>
      <c r="F150" s="6" t="s">
        <v>18</v>
      </c>
      <c r="G150" s="4">
        <v>12160</v>
      </c>
      <c r="H150" s="4">
        <v>1405</v>
      </c>
      <c r="I150" s="6">
        <v>769</v>
      </c>
      <c r="J150" s="6">
        <v>1980</v>
      </c>
      <c r="K150" s="7">
        <v>33174</v>
      </c>
      <c r="L150" s="6">
        <v>226481</v>
      </c>
      <c r="M150" s="4" t="s">
        <v>19</v>
      </c>
      <c r="N150" s="6">
        <f t="shared" si="5"/>
        <v>6.3290077313328714</v>
      </c>
    </row>
    <row r="151" spans="1:14" x14ac:dyDescent="0.3">
      <c r="A151" s="4" t="s">
        <v>288</v>
      </c>
      <c r="B151" s="4" t="s">
        <v>21</v>
      </c>
      <c r="C151" s="5" t="s">
        <v>289</v>
      </c>
      <c r="D151" s="4" t="s">
        <v>34</v>
      </c>
      <c r="E151" s="6" t="s">
        <v>78</v>
      </c>
      <c r="F151" s="6" t="s">
        <v>40</v>
      </c>
      <c r="G151" s="4">
        <v>16124</v>
      </c>
      <c r="H151" s="4">
        <v>863</v>
      </c>
      <c r="I151" s="6">
        <v>337</v>
      </c>
      <c r="J151" s="6">
        <v>819</v>
      </c>
      <c r="K151" s="7">
        <v>85788</v>
      </c>
      <c r="L151" s="6">
        <v>68625</v>
      </c>
      <c r="M151" s="4" t="s">
        <v>37</v>
      </c>
      <c r="N151" s="6">
        <f t="shared" si="5"/>
        <v>25.244444444444447</v>
      </c>
    </row>
    <row r="152" spans="1:14" x14ac:dyDescent="0.3">
      <c r="A152" s="4" t="s">
        <v>290</v>
      </c>
      <c r="B152" s="4" t="s">
        <v>14</v>
      </c>
      <c r="C152" s="5" t="s">
        <v>154</v>
      </c>
      <c r="D152" s="4" t="s">
        <v>34</v>
      </c>
      <c r="E152" s="6" t="s">
        <v>93</v>
      </c>
      <c r="F152" s="6"/>
      <c r="G152" s="4">
        <v>18282</v>
      </c>
      <c r="H152" s="4">
        <v>224</v>
      </c>
      <c r="I152" s="6">
        <v>962</v>
      </c>
      <c r="J152" s="6">
        <v>890</v>
      </c>
      <c r="K152" s="7">
        <v>35105</v>
      </c>
      <c r="L152" s="6">
        <v>64089</v>
      </c>
      <c r="M152" s="4" t="s">
        <v>37</v>
      </c>
      <c r="N152" s="6">
        <f t="shared" si="5"/>
        <v>30.376507669022768</v>
      </c>
    </row>
    <row r="153" spans="1:14" x14ac:dyDescent="0.3">
      <c r="A153" s="4" t="s">
        <v>291</v>
      </c>
      <c r="B153" s="4" t="s">
        <v>14</v>
      </c>
      <c r="C153" s="5">
        <v>45934</v>
      </c>
      <c r="D153" s="4" t="s">
        <v>34</v>
      </c>
      <c r="E153" s="6" t="s">
        <v>177</v>
      </c>
      <c r="F153" s="6" t="s">
        <v>178</v>
      </c>
      <c r="G153" s="4">
        <v>12488</v>
      </c>
      <c r="H153" s="4">
        <v>1403</v>
      </c>
      <c r="I153" s="6">
        <v>247</v>
      </c>
      <c r="J153" s="6">
        <v>1350</v>
      </c>
      <c r="K153" s="7">
        <v>28370</v>
      </c>
      <c r="L153" s="6">
        <v>76487</v>
      </c>
      <c r="M153" s="4" t="s">
        <v>24</v>
      </c>
      <c r="N153" s="6">
        <f t="shared" si="5"/>
        <v>18.484186855282598</v>
      </c>
    </row>
    <row r="154" spans="1:14" x14ac:dyDescent="0.3">
      <c r="A154" s="4" t="s">
        <v>292</v>
      </c>
      <c r="B154" s="4" t="s">
        <v>26</v>
      </c>
      <c r="C154" s="5" t="s">
        <v>293</v>
      </c>
      <c r="D154" s="4" t="s">
        <v>34</v>
      </c>
      <c r="E154" s="6" t="s">
        <v>22</v>
      </c>
      <c r="F154" s="6" t="s">
        <v>23</v>
      </c>
      <c r="G154" s="4">
        <v>24574</v>
      </c>
      <c r="H154" s="4">
        <v>909</v>
      </c>
      <c r="I154" s="6">
        <v>280</v>
      </c>
      <c r="J154" s="6">
        <v>2009</v>
      </c>
      <c r="K154" s="7">
        <v>6221</v>
      </c>
      <c r="L154" s="6">
        <v>236910</v>
      </c>
      <c r="M154" s="4" t="s">
        <v>63</v>
      </c>
      <c r="N154" s="6">
        <f t="shared" si="5"/>
        <v>10.874593727575872</v>
      </c>
    </row>
    <row r="155" spans="1:14" x14ac:dyDescent="0.3">
      <c r="A155" s="4" t="s">
        <v>294</v>
      </c>
      <c r="B155" s="4" t="s">
        <v>14</v>
      </c>
      <c r="C155" s="5" t="s">
        <v>295</v>
      </c>
      <c r="D155" s="4" t="s">
        <v>34</v>
      </c>
      <c r="E155" s="6" t="s">
        <v>55</v>
      </c>
      <c r="F155" s="6" t="s">
        <v>56</v>
      </c>
      <c r="G155" s="4">
        <v>7240</v>
      </c>
      <c r="H155" s="4">
        <v>1384</v>
      </c>
      <c r="I155" s="6">
        <v>954</v>
      </c>
      <c r="J155" s="6">
        <v>2335</v>
      </c>
      <c r="K155" s="7">
        <v>6757</v>
      </c>
      <c r="L155" s="6">
        <v>150448</v>
      </c>
      <c r="M155" s="4" t="s">
        <v>31</v>
      </c>
      <c r="N155" s="6">
        <f t="shared" si="5"/>
        <v>6.366319259810699</v>
      </c>
    </row>
    <row r="156" spans="1:14" x14ac:dyDescent="0.3">
      <c r="A156" s="4" t="s">
        <v>296</v>
      </c>
      <c r="B156" s="4" t="s">
        <v>26</v>
      </c>
      <c r="C156" s="5" t="s">
        <v>297</v>
      </c>
      <c r="D156" s="4" t="s">
        <v>16</v>
      </c>
      <c r="E156" s="6" t="s">
        <v>17</v>
      </c>
      <c r="F156" s="6" t="s">
        <v>18</v>
      </c>
      <c r="G156" s="4">
        <v>12453</v>
      </c>
      <c r="H156" s="4">
        <v>376</v>
      </c>
      <c r="I156" s="6">
        <v>320</v>
      </c>
      <c r="J156" s="6">
        <v>2546</v>
      </c>
      <c r="K156" s="7">
        <v>22617</v>
      </c>
      <c r="L156" s="6">
        <v>90138</v>
      </c>
      <c r="M156" s="4" t="s">
        <v>31</v>
      </c>
      <c r="N156" s="6">
        <f t="shared" si="5"/>
        <v>14.587632297144379</v>
      </c>
    </row>
    <row r="157" spans="1:14" x14ac:dyDescent="0.3">
      <c r="A157" s="4" t="s">
        <v>298</v>
      </c>
      <c r="B157" s="4" t="s">
        <v>53</v>
      </c>
      <c r="C157" s="5" t="s">
        <v>299</v>
      </c>
      <c r="D157" s="4" t="s">
        <v>28</v>
      </c>
      <c r="E157" s="6" t="s">
        <v>44</v>
      </c>
      <c r="F157" s="6" t="s">
        <v>45</v>
      </c>
      <c r="G157" s="4">
        <v>12478</v>
      </c>
      <c r="H157" s="4">
        <v>484</v>
      </c>
      <c r="I157" s="6">
        <v>332</v>
      </c>
      <c r="J157" s="6">
        <v>2734</v>
      </c>
      <c r="K157" s="7">
        <v>43338</v>
      </c>
      <c r="L157" s="6">
        <v>213895</v>
      </c>
      <c r="M157" s="4" t="s">
        <v>37</v>
      </c>
      <c r="N157" s="6">
        <f t="shared" si="5"/>
        <v>6.2151990462610156</v>
      </c>
    </row>
    <row r="158" spans="1:14" x14ac:dyDescent="0.3">
      <c r="A158" s="4" t="s">
        <v>300</v>
      </c>
      <c r="B158" s="4" t="s">
        <v>14</v>
      </c>
      <c r="C158" s="5" t="s">
        <v>301</v>
      </c>
      <c r="D158" s="4" t="s">
        <v>34</v>
      </c>
      <c r="E158" s="6" t="s">
        <v>78</v>
      </c>
      <c r="F158" s="6" t="s">
        <v>40</v>
      </c>
      <c r="G158" s="4">
        <v>24877</v>
      </c>
      <c r="H158" s="4">
        <v>262</v>
      </c>
      <c r="I158" s="6">
        <v>513</v>
      </c>
      <c r="J158" s="6">
        <v>648</v>
      </c>
      <c r="K158" s="7">
        <v>47544</v>
      </c>
      <c r="L158" s="6">
        <v>208280</v>
      </c>
      <c r="M158" s="4" t="s">
        <v>31</v>
      </c>
      <c r="N158" s="6">
        <f t="shared" si="5"/>
        <v>12.316112924908778</v>
      </c>
    </row>
    <row r="159" spans="1:14" x14ac:dyDescent="0.3">
      <c r="A159" s="4" t="s">
        <v>302</v>
      </c>
      <c r="B159" s="4" t="s">
        <v>53</v>
      </c>
      <c r="C159" s="5" t="s">
        <v>303</v>
      </c>
      <c r="D159" s="4" t="s">
        <v>43</v>
      </c>
      <c r="E159" s="6" t="s">
        <v>22</v>
      </c>
      <c r="F159" s="6" t="s">
        <v>23</v>
      </c>
      <c r="G159" s="4">
        <v>14394</v>
      </c>
      <c r="H159" s="4">
        <v>1202</v>
      </c>
      <c r="I159" s="6">
        <v>188</v>
      </c>
      <c r="J159" s="6">
        <v>1259</v>
      </c>
      <c r="K159" s="7">
        <v>21925</v>
      </c>
      <c r="L159" s="6">
        <v>94061</v>
      </c>
      <c r="M159" s="4" t="s">
        <v>37</v>
      </c>
      <c r="N159" s="6">
        <f t="shared" si="5"/>
        <v>16.780599823518781</v>
      </c>
    </row>
    <row r="160" spans="1:14" x14ac:dyDescent="0.3">
      <c r="A160" s="4" t="s">
        <v>304</v>
      </c>
      <c r="B160" s="4" t="s">
        <v>26</v>
      </c>
      <c r="C160" s="5">
        <v>45935</v>
      </c>
      <c r="D160" s="4" t="s">
        <v>28</v>
      </c>
      <c r="E160" s="6" t="s">
        <v>44</v>
      </c>
      <c r="F160" s="6" t="s">
        <v>45</v>
      </c>
      <c r="G160" s="4">
        <v>21262</v>
      </c>
      <c r="H160" s="4">
        <v>861</v>
      </c>
      <c r="I160" s="6">
        <v>676</v>
      </c>
      <c r="J160" s="6">
        <v>2263</v>
      </c>
      <c r="K160" s="7">
        <v>12085</v>
      </c>
      <c r="L160" s="6">
        <v>201731</v>
      </c>
      <c r="M160" s="4" t="s">
        <v>24</v>
      </c>
      <c r="N160" s="6">
        <f t="shared" si="5"/>
        <v>11.301683925623726</v>
      </c>
    </row>
    <row r="161" spans="1:14" x14ac:dyDescent="0.3">
      <c r="A161" s="4" t="s">
        <v>305</v>
      </c>
      <c r="B161" s="4" t="s">
        <v>21</v>
      </c>
      <c r="C161" s="5" t="s">
        <v>306</v>
      </c>
      <c r="D161" s="4" t="s">
        <v>28</v>
      </c>
      <c r="E161" s="6" t="s">
        <v>78</v>
      </c>
      <c r="F161" s="6" t="s">
        <v>40</v>
      </c>
      <c r="G161" s="4">
        <v>22527</v>
      </c>
      <c r="H161" s="4">
        <v>865</v>
      </c>
      <c r="I161" s="6">
        <v>646</v>
      </c>
      <c r="J161" s="6">
        <v>992</v>
      </c>
      <c r="K161" s="7">
        <v>18654</v>
      </c>
      <c r="L161" s="6">
        <v>141376</v>
      </c>
      <c r="M161" s="4" t="s">
        <v>63</v>
      </c>
      <c r="N161" s="6">
        <f t="shared" si="5"/>
        <v>17.002885921231325</v>
      </c>
    </row>
    <row r="162" spans="1:14" x14ac:dyDescent="0.3">
      <c r="A162" s="4" t="s">
        <v>307</v>
      </c>
      <c r="B162" s="4" t="s">
        <v>14</v>
      </c>
      <c r="C162" s="5">
        <v>45936</v>
      </c>
      <c r="D162" s="4" t="s">
        <v>34</v>
      </c>
      <c r="E162" s="6" t="s">
        <v>29</v>
      </c>
      <c r="F162" s="6" t="s">
        <v>30</v>
      </c>
      <c r="G162" s="4">
        <v>22028</v>
      </c>
      <c r="H162" s="4">
        <v>355</v>
      </c>
      <c r="I162" s="6">
        <v>665</v>
      </c>
      <c r="J162" s="6">
        <v>1859</v>
      </c>
      <c r="K162" s="7">
        <v>50565</v>
      </c>
      <c r="L162" s="6">
        <v>202962</v>
      </c>
      <c r="M162" s="4" t="s">
        <v>24</v>
      </c>
      <c r="N162" s="6">
        <f t="shared" si="5"/>
        <v>11.355820301337197</v>
      </c>
    </row>
    <row r="163" spans="1:14" x14ac:dyDescent="0.3">
      <c r="A163" s="4" t="s">
        <v>308</v>
      </c>
      <c r="B163" s="4" t="s">
        <v>26</v>
      </c>
      <c r="C163" s="5" t="s">
        <v>309</v>
      </c>
      <c r="D163" s="4" t="s">
        <v>16</v>
      </c>
      <c r="E163" s="6" t="s">
        <v>44</v>
      </c>
      <c r="F163" s="6" t="s">
        <v>45</v>
      </c>
      <c r="G163" s="4">
        <v>6432</v>
      </c>
      <c r="H163" s="4">
        <v>1272</v>
      </c>
      <c r="I163" s="6">
        <v>498</v>
      </c>
      <c r="J163" s="6">
        <v>677</v>
      </c>
      <c r="K163" s="7">
        <v>47305</v>
      </c>
      <c r="L163" s="6">
        <v>119134</v>
      </c>
      <c r="M163" s="4" t="s">
        <v>19</v>
      </c>
      <c r="N163" s="6">
        <f t="shared" si="5"/>
        <v>6.8846844729464296</v>
      </c>
    </row>
    <row r="164" spans="1:14" x14ac:dyDescent="0.3">
      <c r="A164" s="4" t="s">
        <v>310</v>
      </c>
      <c r="B164" s="4" t="s">
        <v>21</v>
      </c>
      <c r="C164" s="5" t="s">
        <v>311</v>
      </c>
      <c r="D164" s="4" t="s">
        <v>34</v>
      </c>
      <c r="E164" s="6" t="s">
        <v>17</v>
      </c>
      <c r="F164" s="6" t="s">
        <v>18</v>
      </c>
      <c r="G164" s="4">
        <v>15568</v>
      </c>
      <c r="H164" s="4">
        <v>1166</v>
      </c>
      <c r="I164" s="6">
        <v>546</v>
      </c>
      <c r="J164" s="6">
        <v>826</v>
      </c>
      <c r="K164" s="7">
        <v>21836</v>
      </c>
      <c r="L164" s="6">
        <v>87055</v>
      </c>
      <c r="M164" s="4" t="s">
        <v>19</v>
      </c>
      <c r="N164" s="6">
        <f t="shared" si="5"/>
        <v>19.84952041812647</v>
      </c>
    </row>
    <row r="165" spans="1:14" x14ac:dyDescent="0.3">
      <c r="A165" s="4" t="s">
        <v>312</v>
      </c>
      <c r="B165" s="4" t="s">
        <v>21</v>
      </c>
      <c r="C165" s="5" t="s">
        <v>80</v>
      </c>
      <c r="D165" s="4" t="s">
        <v>16</v>
      </c>
      <c r="E165" s="6" t="s">
        <v>22</v>
      </c>
      <c r="F165" s="6" t="s">
        <v>23</v>
      </c>
      <c r="G165" s="4">
        <v>16178</v>
      </c>
      <c r="H165" s="4">
        <v>1048</v>
      </c>
      <c r="I165" s="6">
        <v>871</v>
      </c>
      <c r="J165" s="6">
        <v>2553</v>
      </c>
      <c r="K165" s="7">
        <v>39025</v>
      </c>
      <c r="L165" s="6">
        <v>59508</v>
      </c>
      <c r="M165" s="4" t="s">
        <v>19</v>
      </c>
      <c r="N165" s="6">
        <f t="shared" si="5"/>
        <v>30.411037171472742</v>
      </c>
    </row>
    <row r="166" spans="1:14" x14ac:dyDescent="0.3">
      <c r="A166" s="4" t="s">
        <v>313</v>
      </c>
      <c r="B166" s="4" t="s">
        <v>53</v>
      </c>
      <c r="C166" s="5">
        <v>45937</v>
      </c>
      <c r="D166" s="4" t="s">
        <v>43</v>
      </c>
      <c r="E166" s="6" t="s">
        <v>48</v>
      </c>
      <c r="F166" s="6" t="s">
        <v>49</v>
      </c>
      <c r="G166" s="4">
        <v>19660</v>
      </c>
      <c r="H166" s="4">
        <v>1307</v>
      </c>
      <c r="I166" s="6">
        <v>310</v>
      </c>
      <c r="J166" s="6">
        <v>2802</v>
      </c>
      <c r="K166" s="7">
        <v>22171</v>
      </c>
      <c r="L166" s="6">
        <v>213359</v>
      </c>
      <c r="M166" s="4" t="s">
        <v>24</v>
      </c>
      <c r="N166" s="6">
        <f t="shared" si="5"/>
        <v>9.9723939463533284</v>
      </c>
    </row>
    <row r="167" spans="1:14" x14ac:dyDescent="0.3">
      <c r="A167" s="4" t="s">
        <v>314</v>
      </c>
      <c r="B167" s="4" t="s">
        <v>26</v>
      </c>
      <c r="C167" s="5" t="s">
        <v>315</v>
      </c>
      <c r="D167" s="4" t="s">
        <v>28</v>
      </c>
      <c r="E167" s="6" t="s">
        <v>35</v>
      </c>
      <c r="F167" s="6" t="s">
        <v>70</v>
      </c>
      <c r="G167" s="4">
        <v>24195</v>
      </c>
      <c r="H167" s="4">
        <v>888</v>
      </c>
      <c r="I167" s="6">
        <v>165</v>
      </c>
      <c r="J167" s="6">
        <v>1559</v>
      </c>
      <c r="K167" s="7">
        <v>11596</v>
      </c>
      <c r="L167" s="6">
        <v>249988</v>
      </c>
      <c r="M167" s="4" t="s">
        <v>31</v>
      </c>
      <c r="N167" s="6">
        <f t="shared" si="5"/>
        <v>10.099684784869673</v>
      </c>
    </row>
    <row r="168" spans="1:14" x14ac:dyDescent="0.3">
      <c r="A168" s="4" t="s">
        <v>316</v>
      </c>
      <c r="B168" s="4" t="s">
        <v>21</v>
      </c>
      <c r="C168" s="5" t="s">
        <v>268</v>
      </c>
      <c r="D168" s="4" t="s">
        <v>43</v>
      </c>
      <c r="E168" s="6" t="s">
        <v>35</v>
      </c>
      <c r="F168" s="6" t="s">
        <v>70</v>
      </c>
      <c r="G168" s="4">
        <v>2302</v>
      </c>
      <c r="H168" s="4">
        <v>347</v>
      </c>
      <c r="I168" s="6">
        <v>642</v>
      </c>
      <c r="J168" s="6">
        <v>2175</v>
      </c>
      <c r="K168" s="7">
        <v>56378</v>
      </c>
      <c r="L168" s="6">
        <v>198056</v>
      </c>
      <c r="M168" s="4" t="s">
        <v>63</v>
      </c>
      <c r="N168" s="6">
        <f t="shared" si="5"/>
        <v>1.6616512501514722</v>
      </c>
    </row>
    <row r="169" spans="1:14" x14ac:dyDescent="0.3">
      <c r="A169" s="4" t="s">
        <v>317</v>
      </c>
      <c r="B169" s="4" t="s">
        <v>14</v>
      </c>
      <c r="C169" s="5" t="s">
        <v>318</v>
      </c>
      <c r="D169" s="4" t="s">
        <v>16</v>
      </c>
      <c r="E169" s="6" t="s">
        <v>22</v>
      </c>
      <c r="F169" s="6" t="s">
        <v>23</v>
      </c>
      <c r="G169" s="4">
        <v>19022</v>
      </c>
      <c r="H169" s="4">
        <v>541</v>
      </c>
      <c r="I169" s="6">
        <v>575</v>
      </c>
      <c r="J169" s="6">
        <v>2063</v>
      </c>
      <c r="K169" s="7">
        <v>42743</v>
      </c>
      <c r="L169" s="6">
        <v>150169</v>
      </c>
      <c r="M169" s="4" t="s">
        <v>19</v>
      </c>
      <c r="N169" s="6">
        <f t="shared" si="5"/>
        <v>13.410224480418728</v>
      </c>
    </row>
    <row r="170" spans="1:14" x14ac:dyDescent="0.3">
      <c r="A170" s="4" t="s">
        <v>319</v>
      </c>
      <c r="B170" s="4" t="s">
        <v>14</v>
      </c>
      <c r="C170" s="5" t="s">
        <v>320</v>
      </c>
      <c r="D170" s="4" t="s">
        <v>16</v>
      </c>
      <c r="E170" s="6" t="s">
        <v>44</v>
      </c>
      <c r="F170" s="6" t="s">
        <v>45</v>
      </c>
      <c r="G170" s="4">
        <v>2055</v>
      </c>
      <c r="H170" s="4">
        <v>675</v>
      </c>
      <c r="I170" s="6">
        <v>257</v>
      </c>
      <c r="J170" s="6">
        <v>820</v>
      </c>
      <c r="K170" s="7">
        <v>33534</v>
      </c>
      <c r="L170" s="6">
        <v>48125</v>
      </c>
      <c r="M170" s="4" t="s">
        <v>19</v>
      </c>
      <c r="N170" s="6">
        <f t="shared" si="5"/>
        <v>6.2067532467532462</v>
      </c>
    </row>
    <row r="171" spans="1:14" x14ac:dyDescent="0.3">
      <c r="A171" s="4" t="s">
        <v>321</v>
      </c>
      <c r="B171" s="4" t="s">
        <v>53</v>
      </c>
      <c r="C171" s="5" t="s">
        <v>322</v>
      </c>
      <c r="D171" s="4" t="s">
        <v>43</v>
      </c>
      <c r="E171" s="6" t="s">
        <v>78</v>
      </c>
      <c r="F171" s="6" t="s">
        <v>40</v>
      </c>
      <c r="G171" s="4">
        <v>15013</v>
      </c>
      <c r="H171" s="4">
        <v>1286</v>
      </c>
      <c r="I171" s="6">
        <v>599</v>
      </c>
      <c r="J171" s="6">
        <v>2001</v>
      </c>
      <c r="K171" s="7">
        <v>67839</v>
      </c>
      <c r="L171" s="6">
        <v>76059</v>
      </c>
      <c r="M171" s="4" t="s">
        <v>19</v>
      </c>
      <c r="N171" s="6">
        <f t="shared" si="5"/>
        <v>22.216963147030594</v>
      </c>
    </row>
    <row r="172" spans="1:14" x14ac:dyDescent="0.3">
      <c r="A172" s="4" t="s">
        <v>323</v>
      </c>
      <c r="B172" s="4" t="s">
        <v>21</v>
      </c>
      <c r="C172" s="5" t="s">
        <v>324</v>
      </c>
      <c r="D172" s="4" t="s">
        <v>16</v>
      </c>
      <c r="E172" s="6" t="s">
        <v>17</v>
      </c>
      <c r="F172" s="6" t="s">
        <v>18</v>
      </c>
      <c r="G172" s="4">
        <v>10717</v>
      </c>
      <c r="H172" s="4">
        <v>760</v>
      </c>
      <c r="I172" s="6">
        <v>460</v>
      </c>
      <c r="J172" s="6">
        <v>1316</v>
      </c>
      <c r="K172" s="7">
        <v>18164</v>
      </c>
      <c r="L172" s="6">
        <v>240641</v>
      </c>
      <c r="M172" s="4" t="s">
        <v>63</v>
      </c>
      <c r="N172" s="6">
        <f t="shared" si="5"/>
        <v>4.9605013277039243</v>
      </c>
    </row>
    <row r="173" spans="1:14" x14ac:dyDescent="0.3">
      <c r="A173" s="4" t="s">
        <v>325</v>
      </c>
      <c r="B173" s="4" t="s">
        <v>26</v>
      </c>
      <c r="C173" s="5" t="s">
        <v>326</v>
      </c>
      <c r="D173" s="4" t="s">
        <v>43</v>
      </c>
      <c r="E173" s="6" t="s">
        <v>177</v>
      </c>
      <c r="F173" s="6" t="s">
        <v>178</v>
      </c>
      <c r="G173" s="4">
        <v>10150</v>
      </c>
      <c r="H173" s="4">
        <v>526</v>
      </c>
      <c r="I173" s="6">
        <v>888</v>
      </c>
      <c r="J173" s="6">
        <v>1313</v>
      </c>
      <c r="K173" s="7">
        <v>51605</v>
      </c>
      <c r="L173" s="6">
        <v>143409</v>
      </c>
      <c r="M173" s="4" t="s">
        <v>19</v>
      </c>
      <c r="N173" s="6">
        <f>(G173+H173+I173)/L173*100</f>
        <v>8.063650119588031</v>
      </c>
    </row>
    <row r="174" spans="1:14" x14ac:dyDescent="0.3">
      <c r="A174" s="4" t="s">
        <v>327</v>
      </c>
      <c r="B174" s="4" t="s">
        <v>14</v>
      </c>
      <c r="C174" s="5" t="s">
        <v>328</v>
      </c>
      <c r="D174" s="4" t="s">
        <v>28</v>
      </c>
      <c r="E174" s="6" t="s">
        <v>35</v>
      </c>
      <c r="F174" s="6" t="s">
        <v>70</v>
      </c>
      <c r="G174" s="4">
        <v>4125</v>
      </c>
      <c r="H174" s="4">
        <v>1364</v>
      </c>
      <c r="I174" s="6">
        <v>319</v>
      </c>
      <c r="J174" s="6">
        <v>2848</v>
      </c>
      <c r="K174" s="7">
        <v>15379</v>
      </c>
      <c r="L174" s="6">
        <v>188159</v>
      </c>
      <c r="M174" s="4" t="s">
        <v>63</v>
      </c>
      <c r="N174" s="6">
        <f t="shared" ref="N174:N193" si="6">(G174+H174+I174)/L174*100</f>
        <v>3.0867510988047342</v>
      </c>
    </row>
    <row r="175" spans="1:14" x14ac:dyDescent="0.3">
      <c r="A175" s="4" t="s">
        <v>329</v>
      </c>
      <c r="B175" s="4" t="s">
        <v>21</v>
      </c>
      <c r="C175" s="5" t="s">
        <v>142</v>
      </c>
      <c r="D175" s="4" t="s">
        <v>43</v>
      </c>
      <c r="E175" s="6" t="s">
        <v>17</v>
      </c>
      <c r="F175" s="6" t="s">
        <v>18</v>
      </c>
      <c r="G175" s="4">
        <v>13479</v>
      </c>
      <c r="H175" s="4">
        <v>1189</v>
      </c>
      <c r="I175" s="6">
        <v>695</v>
      </c>
      <c r="J175" s="6">
        <v>416</v>
      </c>
      <c r="K175" s="7">
        <v>30229</v>
      </c>
      <c r="L175" s="6">
        <v>45704</v>
      </c>
      <c r="M175" s="4" t="s">
        <v>19</v>
      </c>
      <c r="N175" s="6">
        <f t="shared" si="6"/>
        <v>33.61412567827761</v>
      </c>
    </row>
    <row r="176" spans="1:14" x14ac:dyDescent="0.3">
      <c r="A176" s="4" t="s">
        <v>330</v>
      </c>
      <c r="B176" s="4" t="s">
        <v>21</v>
      </c>
      <c r="C176" s="5">
        <v>45938</v>
      </c>
      <c r="D176" s="4" t="s">
        <v>28</v>
      </c>
      <c r="E176" s="6" t="s">
        <v>35</v>
      </c>
      <c r="F176" s="6" t="s">
        <v>70</v>
      </c>
      <c r="G176" s="4">
        <v>17745</v>
      </c>
      <c r="H176" s="4">
        <v>414</v>
      </c>
      <c r="I176" s="6">
        <v>563</v>
      </c>
      <c r="J176" s="6">
        <v>2733</v>
      </c>
      <c r="K176" s="7">
        <v>995</v>
      </c>
      <c r="L176" s="6">
        <v>231648</v>
      </c>
      <c r="M176" s="4" t="s">
        <v>24</v>
      </c>
      <c r="N176" s="6">
        <f t="shared" si="6"/>
        <v>8.0820900676889078</v>
      </c>
    </row>
    <row r="177" spans="1:14" x14ac:dyDescent="0.3">
      <c r="A177" s="4" t="s">
        <v>331</v>
      </c>
      <c r="B177" s="4" t="s">
        <v>53</v>
      </c>
      <c r="C177" s="5">
        <v>45939</v>
      </c>
      <c r="D177" s="4" t="s">
        <v>43</v>
      </c>
      <c r="E177" s="6" t="s">
        <v>29</v>
      </c>
      <c r="F177" s="6" t="s">
        <v>30</v>
      </c>
      <c r="G177" s="4">
        <v>18748</v>
      </c>
      <c r="H177" s="4">
        <v>634</v>
      </c>
      <c r="I177" s="6">
        <v>400</v>
      </c>
      <c r="J177" s="6">
        <v>1667</v>
      </c>
      <c r="K177" s="7">
        <v>75813</v>
      </c>
      <c r="L177" s="6">
        <v>244456</v>
      </c>
      <c r="M177" s="4" t="s">
        <v>24</v>
      </c>
      <c r="N177" s="6">
        <f t="shared" si="6"/>
        <v>8.0922538207284749</v>
      </c>
    </row>
    <row r="178" spans="1:14" x14ac:dyDescent="0.3">
      <c r="A178" s="4" t="s">
        <v>332</v>
      </c>
      <c r="B178" s="4" t="s">
        <v>14</v>
      </c>
      <c r="C178" s="5" t="s">
        <v>333</v>
      </c>
      <c r="D178" s="4" t="s">
        <v>16</v>
      </c>
      <c r="E178" s="6" t="s">
        <v>78</v>
      </c>
      <c r="F178" s="6" t="s">
        <v>40</v>
      </c>
      <c r="G178" s="4">
        <v>8809</v>
      </c>
      <c r="H178" s="4">
        <v>1151</v>
      </c>
      <c r="I178" s="6">
        <v>908</v>
      </c>
      <c r="J178" s="6">
        <v>883</v>
      </c>
      <c r="K178" s="7">
        <v>42921</v>
      </c>
      <c r="L178" s="6">
        <v>151279</v>
      </c>
      <c r="M178" s="4" t="s">
        <v>63</v>
      </c>
      <c r="N178" s="6">
        <f t="shared" si="6"/>
        <v>7.1840771025720684</v>
      </c>
    </row>
    <row r="179" spans="1:14" x14ac:dyDescent="0.3">
      <c r="A179" s="4" t="s">
        <v>334</v>
      </c>
      <c r="B179" s="4" t="s">
        <v>14</v>
      </c>
      <c r="C179" s="5">
        <v>45940</v>
      </c>
      <c r="D179" s="4" t="s">
        <v>43</v>
      </c>
      <c r="E179" s="6" t="s">
        <v>29</v>
      </c>
      <c r="F179" s="6" t="s">
        <v>30</v>
      </c>
      <c r="G179" s="4">
        <v>6621</v>
      </c>
      <c r="H179" s="4">
        <v>922</v>
      </c>
      <c r="I179" s="6">
        <v>930</v>
      </c>
      <c r="J179" s="6">
        <v>694</v>
      </c>
      <c r="K179" s="7">
        <v>839</v>
      </c>
      <c r="L179" s="6">
        <v>243532</v>
      </c>
      <c r="M179" s="4" t="s">
        <v>24</v>
      </c>
      <c r="N179" s="6">
        <f t="shared" si="6"/>
        <v>3.4792142305733949</v>
      </c>
    </row>
    <row r="180" spans="1:14" x14ac:dyDescent="0.3">
      <c r="A180" s="4" t="s">
        <v>335</v>
      </c>
      <c r="B180" s="4" t="s">
        <v>26</v>
      </c>
      <c r="C180" s="5" t="s">
        <v>275</v>
      </c>
      <c r="D180" s="4" t="s">
        <v>16</v>
      </c>
      <c r="E180" s="6" t="s">
        <v>35</v>
      </c>
      <c r="F180" s="6" t="s">
        <v>70</v>
      </c>
      <c r="G180" s="4">
        <v>17034</v>
      </c>
      <c r="H180" s="4">
        <v>231</v>
      </c>
      <c r="I180" s="6">
        <v>290</v>
      </c>
      <c r="J180" s="6">
        <v>1387</v>
      </c>
      <c r="K180" s="7">
        <v>63550</v>
      </c>
      <c r="L180" s="6">
        <v>198280</v>
      </c>
      <c r="M180" s="4" t="s">
        <v>63</v>
      </c>
      <c r="N180" s="6">
        <f t="shared" si="6"/>
        <v>8.8536413153116804</v>
      </c>
    </row>
    <row r="181" spans="1:14" x14ac:dyDescent="0.3">
      <c r="A181" s="4" t="s">
        <v>336</v>
      </c>
      <c r="B181" s="4" t="s">
        <v>14</v>
      </c>
      <c r="C181" s="5">
        <v>45941</v>
      </c>
      <c r="D181" s="4" t="s">
        <v>43</v>
      </c>
      <c r="E181" s="6" t="s">
        <v>48</v>
      </c>
      <c r="F181" s="6" t="s">
        <v>49</v>
      </c>
      <c r="G181" s="4">
        <v>15623</v>
      </c>
      <c r="H181" s="4">
        <v>869</v>
      </c>
      <c r="I181" s="6">
        <v>423</v>
      </c>
      <c r="J181" s="6">
        <v>371</v>
      </c>
      <c r="K181" s="7">
        <v>47579</v>
      </c>
      <c r="L181" s="6">
        <v>158516</v>
      </c>
      <c r="M181" s="4" t="s">
        <v>24</v>
      </c>
      <c r="N181" s="6">
        <f t="shared" si="6"/>
        <v>10.670847106916652</v>
      </c>
    </row>
    <row r="182" spans="1:14" x14ac:dyDescent="0.3">
      <c r="A182" s="4" t="s">
        <v>337</v>
      </c>
      <c r="B182" s="4" t="s">
        <v>26</v>
      </c>
      <c r="C182" s="5">
        <v>45942</v>
      </c>
      <c r="D182" s="4" t="s">
        <v>43</v>
      </c>
      <c r="E182" s="6" t="s">
        <v>48</v>
      </c>
      <c r="F182" s="6" t="s">
        <v>49</v>
      </c>
      <c r="G182" s="4">
        <v>7126</v>
      </c>
      <c r="H182" s="4">
        <v>484</v>
      </c>
      <c r="I182" s="6">
        <v>565</v>
      </c>
      <c r="J182" s="6">
        <v>573</v>
      </c>
      <c r="K182" s="7">
        <v>7389</v>
      </c>
      <c r="L182" s="6">
        <v>237096</v>
      </c>
      <c r="M182" s="4" t="s">
        <v>24</v>
      </c>
      <c r="N182" s="6">
        <f t="shared" si="6"/>
        <v>3.4479704423524646</v>
      </c>
    </row>
    <row r="183" spans="1:14" x14ac:dyDescent="0.3">
      <c r="A183" s="4" t="s">
        <v>338</v>
      </c>
      <c r="B183" s="4" t="s">
        <v>14</v>
      </c>
      <c r="C183" s="5" t="s">
        <v>99</v>
      </c>
      <c r="D183" s="4" t="s">
        <v>34</v>
      </c>
      <c r="E183" s="6" t="s">
        <v>29</v>
      </c>
      <c r="F183" s="6" t="s">
        <v>30</v>
      </c>
      <c r="G183" s="4">
        <v>7122</v>
      </c>
      <c r="H183" s="4">
        <v>628</v>
      </c>
      <c r="I183" s="6">
        <v>757</v>
      </c>
      <c r="J183" s="6">
        <v>2313</v>
      </c>
      <c r="K183" s="7">
        <v>50924</v>
      </c>
      <c r="L183" s="6">
        <v>210954</v>
      </c>
      <c r="M183" s="4" t="s">
        <v>63</v>
      </c>
      <c r="N183" s="6">
        <f t="shared" si="6"/>
        <v>4.032632706656428</v>
      </c>
    </row>
    <row r="184" spans="1:14" x14ac:dyDescent="0.3">
      <c r="A184" s="4" t="s">
        <v>339</v>
      </c>
      <c r="B184" s="4" t="s">
        <v>53</v>
      </c>
      <c r="C184" s="5" t="s">
        <v>340</v>
      </c>
      <c r="D184" s="4" t="s">
        <v>16</v>
      </c>
      <c r="E184" s="6" t="s">
        <v>48</v>
      </c>
      <c r="F184" s="6" t="s">
        <v>49</v>
      </c>
      <c r="G184" s="4">
        <v>20030</v>
      </c>
      <c r="H184" s="4">
        <v>485</v>
      </c>
      <c r="I184" s="6">
        <v>888</v>
      </c>
      <c r="J184" s="6">
        <v>1643</v>
      </c>
      <c r="K184" s="7">
        <v>4322</v>
      </c>
      <c r="L184" s="6">
        <v>196995</v>
      </c>
      <c r="M184" s="4" t="s">
        <v>31</v>
      </c>
      <c r="N184" s="6">
        <f t="shared" si="6"/>
        <v>10.864742759968527</v>
      </c>
    </row>
    <row r="185" spans="1:14" x14ac:dyDescent="0.3">
      <c r="A185" s="4" t="s">
        <v>341</v>
      </c>
      <c r="B185" s="4" t="s">
        <v>14</v>
      </c>
      <c r="C185" s="5">
        <v>45943</v>
      </c>
      <c r="D185" s="4" t="s">
        <v>34</v>
      </c>
      <c r="E185" s="6" t="s">
        <v>35</v>
      </c>
      <c r="F185" s="6" t="s">
        <v>70</v>
      </c>
      <c r="G185" s="4">
        <v>19302</v>
      </c>
      <c r="H185" s="4">
        <v>1367</v>
      </c>
      <c r="I185" s="6">
        <v>188</v>
      </c>
      <c r="J185" s="6">
        <v>637</v>
      </c>
      <c r="K185" s="7">
        <v>31404</v>
      </c>
      <c r="L185" s="6">
        <v>154044</v>
      </c>
      <c r="M185" s="4" t="s">
        <v>24</v>
      </c>
      <c r="N185" s="6">
        <f t="shared" si="6"/>
        <v>13.53963802549921</v>
      </c>
    </row>
    <row r="186" spans="1:14" x14ac:dyDescent="0.3">
      <c r="A186" s="4" t="s">
        <v>342</v>
      </c>
      <c r="B186" s="4" t="s">
        <v>26</v>
      </c>
      <c r="C186" s="5" t="s">
        <v>343</v>
      </c>
      <c r="D186" s="4" t="s">
        <v>16</v>
      </c>
      <c r="E186" s="6" t="s">
        <v>22</v>
      </c>
      <c r="F186" s="6" t="s">
        <v>23</v>
      </c>
      <c r="G186" s="4">
        <v>21181</v>
      </c>
      <c r="H186" s="4">
        <v>1242</v>
      </c>
      <c r="I186" s="6">
        <v>963</v>
      </c>
      <c r="J186" s="6">
        <v>1689</v>
      </c>
      <c r="K186" s="7">
        <v>49329</v>
      </c>
      <c r="L186" s="6">
        <v>69165</v>
      </c>
      <c r="M186" s="4" t="s">
        <v>19</v>
      </c>
      <c r="N186" s="6">
        <f t="shared" si="6"/>
        <v>33.811899081905587</v>
      </c>
    </row>
    <row r="187" spans="1:14" x14ac:dyDescent="0.3">
      <c r="A187" s="4" t="s">
        <v>344</v>
      </c>
      <c r="B187" s="4" t="s">
        <v>26</v>
      </c>
      <c r="C187" s="5" t="s">
        <v>306</v>
      </c>
      <c r="D187" s="4" t="s">
        <v>34</v>
      </c>
      <c r="E187" s="6" t="s">
        <v>29</v>
      </c>
      <c r="F187" s="6" t="s">
        <v>30</v>
      </c>
      <c r="G187" s="4">
        <v>24890</v>
      </c>
      <c r="H187" s="4">
        <v>217</v>
      </c>
      <c r="I187" s="6">
        <v>178</v>
      </c>
      <c r="J187" s="6">
        <v>906</v>
      </c>
      <c r="K187" s="7">
        <v>54826</v>
      </c>
      <c r="L187" s="6">
        <v>107203</v>
      </c>
      <c r="M187" s="4" t="s">
        <v>31</v>
      </c>
      <c r="N187" s="6">
        <f t="shared" si="6"/>
        <v>23.586093672751694</v>
      </c>
    </row>
    <row r="188" spans="1:14" x14ac:dyDescent="0.3">
      <c r="A188" s="4" t="s">
        <v>345</v>
      </c>
      <c r="B188" s="4" t="s">
        <v>53</v>
      </c>
      <c r="C188" s="5" t="s">
        <v>346</v>
      </c>
      <c r="D188" s="4" t="s">
        <v>28</v>
      </c>
      <c r="E188" s="6" t="s">
        <v>177</v>
      </c>
      <c r="F188" s="6" t="s">
        <v>178</v>
      </c>
      <c r="G188" s="4">
        <v>7870</v>
      </c>
      <c r="H188" s="4">
        <v>968</v>
      </c>
      <c r="I188" s="6">
        <v>626</v>
      </c>
      <c r="J188" s="6">
        <v>465</v>
      </c>
      <c r="K188" s="7">
        <v>27184</v>
      </c>
      <c r="L188" s="6">
        <v>44114</v>
      </c>
      <c r="M188" s="4" t="s">
        <v>63</v>
      </c>
      <c r="N188" s="6">
        <f t="shared" si="6"/>
        <v>21.453506823230718</v>
      </c>
    </row>
    <row r="189" spans="1:14" x14ac:dyDescent="0.3">
      <c r="A189" s="4" t="s">
        <v>347</v>
      </c>
      <c r="B189" s="4" t="s">
        <v>14</v>
      </c>
      <c r="C189" s="5" t="s">
        <v>192</v>
      </c>
      <c r="D189" s="4" t="s">
        <v>43</v>
      </c>
      <c r="E189" s="6" t="s">
        <v>177</v>
      </c>
      <c r="F189" s="6" t="s">
        <v>178</v>
      </c>
      <c r="G189" s="4">
        <v>3531</v>
      </c>
      <c r="H189" s="4">
        <v>789</v>
      </c>
      <c r="I189" s="6">
        <v>467</v>
      </c>
      <c r="J189" s="6">
        <v>1867</v>
      </c>
      <c r="K189" s="7">
        <v>40816</v>
      </c>
      <c r="L189" s="6">
        <v>236037</v>
      </c>
      <c r="M189" s="4" t="s">
        <v>31</v>
      </c>
      <c r="N189" s="6">
        <f t="shared" si="6"/>
        <v>2.0280718700881639</v>
      </c>
    </row>
    <row r="190" spans="1:14" x14ac:dyDescent="0.3">
      <c r="A190" s="4" t="s">
        <v>348</v>
      </c>
      <c r="B190" s="4" t="s">
        <v>14</v>
      </c>
      <c r="C190" s="5" t="s">
        <v>349</v>
      </c>
      <c r="D190" s="4" t="s">
        <v>16</v>
      </c>
      <c r="E190" s="6" t="s">
        <v>40</v>
      </c>
      <c r="F190" s="6"/>
      <c r="G190" s="4">
        <v>10172</v>
      </c>
      <c r="H190" s="4">
        <v>1398</v>
      </c>
      <c r="I190" s="6">
        <v>394</v>
      </c>
      <c r="J190" s="6">
        <v>2358</v>
      </c>
      <c r="K190" s="7">
        <v>59610</v>
      </c>
      <c r="L190" s="6">
        <v>76321</v>
      </c>
      <c r="M190" s="4" t="s">
        <v>37</v>
      </c>
      <c r="N190" s="6">
        <f t="shared" si="6"/>
        <v>15.675895231980713</v>
      </c>
    </row>
    <row r="191" spans="1:14" x14ac:dyDescent="0.3">
      <c r="A191" s="4" t="s">
        <v>350</v>
      </c>
      <c r="B191" s="4" t="s">
        <v>53</v>
      </c>
      <c r="C191" s="5" t="s">
        <v>351</v>
      </c>
      <c r="D191" s="4" t="s">
        <v>16</v>
      </c>
      <c r="E191" s="6" t="s">
        <v>44</v>
      </c>
      <c r="F191" s="6" t="s">
        <v>45</v>
      </c>
      <c r="G191" s="4">
        <v>21729</v>
      </c>
      <c r="H191" s="4">
        <v>1209</v>
      </c>
      <c r="I191" s="6">
        <v>897</v>
      </c>
      <c r="J191" s="6">
        <v>1624</v>
      </c>
      <c r="K191" s="7">
        <v>38771</v>
      </c>
      <c r="L191" s="6">
        <v>113297</v>
      </c>
      <c r="M191" s="4" t="s">
        <v>37</v>
      </c>
      <c r="N191" s="6">
        <f t="shared" si="6"/>
        <v>21.037626768581692</v>
      </c>
    </row>
    <row r="192" spans="1:14" x14ac:dyDescent="0.3">
      <c r="A192" s="4" t="s">
        <v>352</v>
      </c>
      <c r="B192" s="4" t="s">
        <v>14</v>
      </c>
      <c r="C192" s="5">
        <v>45944</v>
      </c>
      <c r="D192" s="4" t="s">
        <v>43</v>
      </c>
      <c r="E192" s="6" t="s">
        <v>78</v>
      </c>
      <c r="F192" s="6" t="s">
        <v>40</v>
      </c>
      <c r="G192" s="4">
        <v>9673</v>
      </c>
      <c r="H192" s="4">
        <v>393</v>
      </c>
      <c r="I192" s="6">
        <v>846</v>
      </c>
      <c r="J192" s="6">
        <v>1028</v>
      </c>
      <c r="K192" s="7">
        <v>55556</v>
      </c>
      <c r="L192" s="6">
        <v>136652</v>
      </c>
      <c r="M192" s="4" t="s">
        <v>24</v>
      </c>
      <c r="N192" s="6">
        <f t="shared" si="6"/>
        <v>7.9852471972601942</v>
      </c>
    </row>
    <row r="193" spans="1:14" x14ac:dyDescent="0.3">
      <c r="A193" s="4" t="s">
        <v>353</v>
      </c>
      <c r="B193" s="4" t="s">
        <v>14</v>
      </c>
      <c r="C193" s="5">
        <v>45945</v>
      </c>
      <c r="D193" s="4" t="s">
        <v>16</v>
      </c>
      <c r="E193" s="6" t="s">
        <v>48</v>
      </c>
      <c r="F193" s="6" t="s">
        <v>49</v>
      </c>
      <c r="G193" s="4">
        <v>8882</v>
      </c>
      <c r="H193" s="4">
        <v>701</v>
      </c>
      <c r="I193" s="6">
        <v>421</v>
      </c>
      <c r="J193" s="6">
        <v>2343</v>
      </c>
      <c r="K193" s="7">
        <v>13588</v>
      </c>
      <c r="L193" s="6">
        <v>139304</v>
      </c>
      <c r="M193" s="4" t="s">
        <v>24</v>
      </c>
      <c r="N193" s="6">
        <f t="shared" si="6"/>
        <v>7.1814161833113195</v>
      </c>
    </row>
    <row r="194" spans="1:14" x14ac:dyDescent="0.3">
      <c r="A194" s="4" t="s">
        <v>354</v>
      </c>
      <c r="B194" s="4" t="s">
        <v>26</v>
      </c>
      <c r="C194" s="5" t="s">
        <v>355</v>
      </c>
      <c r="D194" s="4" t="s">
        <v>16</v>
      </c>
      <c r="E194" s="6" t="s">
        <v>48</v>
      </c>
      <c r="F194" s="6" t="s">
        <v>49</v>
      </c>
      <c r="G194" s="4">
        <v>3906</v>
      </c>
      <c r="H194" s="4">
        <v>1187</v>
      </c>
      <c r="I194" s="6">
        <v>589</v>
      </c>
      <c r="J194" s="6">
        <v>401</v>
      </c>
      <c r="K194" s="7">
        <v>52687</v>
      </c>
      <c r="L194" s="6">
        <v>196498</v>
      </c>
      <c r="M194" s="4" t="s">
        <v>19</v>
      </c>
      <c r="N194" s="6">
        <f>(G194+H194+I194)/L194*100</f>
        <v>2.8916324848090058</v>
      </c>
    </row>
    <row r="195" spans="1:14" x14ac:dyDescent="0.3">
      <c r="A195" s="4" t="s">
        <v>356</v>
      </c>
      <c r="B195" s="4" t="s">
        <v>14</v>
      </c>
      <c r="C195" s="5" t="s">
        <v>249</v>
      </c>
      <c r="D195" s="4" t="s">
        <v>34</v>
      </c>
      <c r="E195" s="6" t="s">
        <v>44</v>
      </c>
      <c r="F195" s="6" t="s">
        <v>45</v>
      </c>
      <c r="G195" s="4">
        <v>5086</v>
      </c>
      <c r="H195" s="4">
        <v>1336</v>
      </c>
      <c r="I195" s="6">
        <v>897</v>
      </c>
      <c r="J195" s="6">
        <v>1715</v>
      </c>
      <c r="K195" s="7">
        <v>60592</v>
      </c>
      <c r="L195" s="6">
        <v>57772</v>
      </c>
      <c r="M195" s="4" t="s">
        <v>31</v>
      </c>
      <c r="N195" s="6">
        <f t="shared" ref="N195:N214" si="7">(G195+H195+I195)/L195*100</f>
        <v>12.668766876687668</v>
      </c>
    </row>
    <row r="196" spans="1:14" x14ac:dyDescent="0.3">
      <c r="A196" s="4" t="s">
        <v>357</v>
      </c>
      <c r="B196" s="4" t="s">
        <v>14</v>
      </c>
      <c r="C196" s="5" t="s">
        <v>358</v>
      </c>
      <c r="D196" s="4" t="s">
        <v>16</v>
      </c>
      <c r="E196" s="6" t="s">
        <v>55</v>
      </c>
      <c r="F196" s="6" t="s">
        <v>56</v>
      </c>
      <c r="G196" s="4">
        <v>15503</v>
      </c>
      <c r="H196" s="4">
        <v>313</v>
      </c>
      <c r="I196" s="6">
        <v>388</v>
      </c>
      <c r="J196" s="6">
        <v>1078</v>
      </c>
      <c r="K196" s="7">
        <v>11500</v>
      </c>
      <c r="L196" s="6">
        <v>143754</v>
      </c>
      <c r="M196" s="4" t="s">
        <v>37</v>
      </c>
      <c r="N196" s="6">
        <f t="shared" si="7"/>
        <v>11.27203416948398</v>
      </c>
    </row>
    <row r="197" spans="1:14" x14ac:dyDescent="0.3">
      <c r="A197" s="4" t="s">
        <v>359</v>
      </c>
      <c r="B197" s="4" t="s">
        <v>53</v>
      </c>
      <c r="C197" s="5">
        <v>45918</v>
      </c>
      <c r="D197" s="4" t="s">
        <v>28</v>
      </c>
      <c r="E197" s="6" t="s">
        <v>93</v>
      </c>
      <c r="F197" s="6"/>
      <c r="G197" s="4">
        <v>10152</v>
      </c>
      <c r="H197" s="4">
        <v>1445</v>
      </c>
      <c r="I197" s="6">
        <v>526</v>
      </c>
      <c r="J197" s="6">
        <v>513</v>
      </c>
      <c r="K197" s="7">
        <v>18959</v>
      </c>
      <c r="L197" s="6">
        <v>43712</v>
      </c>
      <c r="M197" s="4" t="s">
        <v>24</v>
      </c>
      <c r="N197" s="6">
        <f t="shared" si="7"/>
        <v>27.733803074670572</v>
      </c>
    </row>
    <row r="198" spans="1:14" x14ac:dyDescent="0.3">
      <c r="A198" s="4" t="s">
        <v>360</v>
      </c>
      <c r="B198" s="4" t="s">
        <v>53</v>
      </c>
      <c r="C198" s="5" t="s">
        <v>299</v>
      </c>
      <c r="D198" s="4" t="s">
        <v>28</v>
      </c>
      <c r="E198" s="6" t="s">
        <v>29</v>
      </c>
      <c r="F198" s="6" t="s">
        <v>30</v>
      </c>
      <c r="G198" s="4">
        <v>7750</v>
      </c>
      <c r="H198" s="4">
        <v>1146</v>
      </c>
      <c r="I198" s="6">
        <v>415</v>
      </c>
      <c r="J198" s="6">
        <v>1411</v>
      </c>
      <c r="K198" s="7">
        <v>85339</v>
      </c>
      <c r="L198" s="6">
        <v>172439</v>
      </c>
      <c r="M198" s="4" t="s">
        <v>31</v>
      </c>
      <c r="N198" s="6">
        <f t="shared" si="7"/>
        <v>5.3995905798572243</v>
      </c>
    </row>
    <row r="199" spans="1:14" x14ac:dyDescent="0.3">
      <c r="A199" s="4" t="s">
        <v>361</v>
      </c>
      <c r="B199" s="4" t="s">
        <v>21</v>
      </c>
      <c r="C199" s="5">
        <v>45919</v>
      </c>
      <c r="D199" s="4" t="s">
        <v>43</v>
      </c>
      <c r="E199" s="6" t="s">
        <v>35</v>
      </c>
      <c r="F199" s="6" t="s">
        <v>36</v>
      </c>
      <c r="G199" s="4">
        <v>14772</v>
      </c>
      <c r="H199" s="4">
        <v>1030</v>
      </c>
      <c r="I199" s="6">
        <v>508</v>
      </c>
      <c r="J199" s="6">
        <v>1876</v>
      </c>
      <c r="K199" s="7">
        <v>8882</v>
      </c>
      <c r="L199" s="6">
        <v>155142</v>
      </c>
      <c r="M199" s="4" t="s">
        <v>24</v>
      </c>
      <c r="N199" s="6">
        <f t="shared" si="7"/>
        <v>10.512949426976578</v>
      </c>
    </row>
    <row r="200" spans="1:14" x14ac:dyDescent="0.3">
      <c r="A200" s="4" t="s">
        <v>362</v>
      </c>
      <c r="B200" s="4" t="s">
        <v>26</v>
      </c>
      <c r="C200" s="5">
        <v>45920</v>
      </c>
      <c r="D200" s="4" t="s">
        <v>16</v>
      </c>
      <c r="E200" s="6" t="s">
        <v>48</v>
      </c>
      <c r="F200" s="6" t="s">
        <v>49</v>
      </c>
      <c r="G200" s="4">
        <v>12267</v>
      </c>
      <c r="H200" s="4">
        <v>1487</v>
      </c>
      <c r="I200" s="6">
        <v>489</v>
      </c>
      <c r="J200" s="6">
        <v>2748</v>
      </c>
      <c r="K200" s="7">
        <v>34685</v>
      </c>
      <c r="L200" s="6">
        <v>131736</v>
      </c>
      <c r="M200" s="4" t="s">
        <v>24</v>
      </c>
      <c r="N200" s="6">
        <f t="shared" si="7"/>
        <v>10.811775065282079</v>
      </c>
    </row>
    <row r="201" spans="1:14" x14ac:dyDescent="0.3">
      <c r="A201" s="4" t="s">
        <v>363</v>
      </c>
      <c r="B201" s="4" t="s">
        <v>14</v>
      </c>
      <c r="C201" s="5" t="s">
        <v>364</v>
      </c>
      <c r="D201" s="4" t="s">
        <v>43</v>
      </c>
      <c r="E201" s="6" t="s">
        <v>78</v>
      </c>
      <c r="F201" s="6" t="s">
        <v>40</v>
      </c>
      <c r="G201" s="4">
        <v>3062</v>
      </c>
      <c r="H201" s="4">
        <v>1124</v>
      </c>
      <c r="I201" s="6">
        <v>538</v>
      </c>
      <c r="J201" s="6">
        <v>2935</v>
      </c>
      <c r="K201" s="7">
        <v>69749</v>
      </c>
      <c r="L201" s="6">
        <v>91924</v>
      </c>
      <c r="M201" s="4" t="s">
        <v>37</v>
      </c>
      <c r="N201" s="6">
        <f t="shared" si="7"/>
        <v>5.1390278926069364</v>
      </c>
    </row>
    <row r="202" spans="1:14" x14ac:dyDescent="0.3">
      <c r="A202" s="4" t="s">
        <v>365</v>
      </c>
      <c r="B202" s="4" t="s">
        <v>14</v>
      </c>
      <c r="C202" s="5" t="s">
        <v>366</v>
      </c>
      <c r="D202" s="4" t="s">
        <v>28</v>
      </c>
      <c r="E202" s="6" t="s">
        <v>40</v>
      </c>
      <c r="F202" s="6"/>
      <c r="G202" s="4">
        <v>20360</v>
      </c>
      <c r="H202" s="4">
        <v>254</v>
      </c>
      <c r="I202" s="6">
        <v>726</v>
      </c>
      <c r="J202" s="6">
        <v>1995</v>
      </c>
      <c r="K202" s="7">
        <v>14280</v>
      </c>
      <c r="L202" s="6">
        <v>43726</v>
      </c>
      <c r="M202" s="4" t="s">
        <v>37</v>
      </c>
      <c r="N202" s="6">
        <f t="shared" si="7"/>
        <v>48.803915290673736</v>
      </c>
    </row>
    <row r="203" spans="1:14" x14ac:dyDescent="0.3">
      <c r="A203" s="4" t="s">
        <v>367</v>
      </c>
      <c r="B203" s="4" t="s">
        <v>21</v>
      </c>
      <c r="C203" s="5">
        <v>45921</v>
      </c>
      <c r="D203" s="4" t="s">
        <v>16</v>
      </c>
      <c r="E203" s="6" t="s">
        <v>177</v>
      </c>
      <c r="F203" s="6" t="s">
        <v>178</v>
      </c>
      <c r="G203" s="4">
        <v>19680</v>
      </c>
      <c r="H203" s="4">
        <v>999</v>
      </c>
      <c r="I203" s="6">
        <v>838</v>
      </c>
      <c r="J203" s="6">
        <v>891</v>
      </c>
      <c r="K203" s="7">
        <v>29576</v>
      </c>
      <c r="L203" s="6">
        <v>129152</v>
      </c>
      <c r="M203" s="4" t="s">
        <v>24</v>
      </c>
      <c r="N203" s="6">
        <f t="shared" si="7"/>
        <v>16.660214321110008</v>
      </c>
    </row>
    <row r="204" spans="1:14" x14ac:dyDescent="0.3">
      <c r="A204" s="4" t="s">
        <v>368</v>
      </c>
      <c r="B204" s="4" t="s">
        <v>14</v>
      </c>
      <c r="C204" s="5" t="s">
        <v>369</v>
      </c>
      <c r="D204" s="4" t="s">
        <v>16</v>
      </c>
      <c r="E204" s="6" t="s">
        <v>48</v>
      </c>
      <c r="F204" s="6" t="s">
        <v>49</v>
      </c>
      <c r="G204" s="4">
        <v>8229</v>
      </c>
      <c r="H204" s="4">
        <v>977</v>
      </c>
      <c r="I204" s="6">
        <v>152</v>
      </c>
      <c r="J204" s="6">
        <v>1633</v>
      </c>
      <c r="K204" s="7">
        <v>71447</v>
      </c>
      <c r="L204" s="6">
        <v>67723</v>
      </c>
      <c r="M204" s="4" t="s">
        <v>63</v>
      </c>
      <c r="N204" s="6">
        <f t="shared" si="7"/>
        <v>13.818052950991538</v>
      </c>
    </row>
    <row r="205" spans="1:14" x14ac:dyDescent="0.3">
      <c r="A205" s="4" t="s">
        <v>370</v>
      </c>
      <c r="B205" s="4" t="s">
        <v>26</v>
      </c>
      <c r="C205" s="5">
        <v>45922</v>
      </c>
      <c r="D205" s="4" t="s">
        <v>43</v>
      </c>
      <c r="E205" s="6" t="s">
        <v>40</v>
      </c>
      <c r="F205" s="6"/>
      <c r="G205" s="4">
        <v>18509</v>
      </c>
      <c r="H205" s="4">
        <v>361</v>
      </c>
      <c r="I205" s="6">
        <v>578</v>
      </c>
      <c r="J205" s="6">
        <v>1409</v>
      </c>
      <c r="K205" s="7">
        <v>10569</v>
      </c>
      <c r="L205" s="6">
        <v>166969</v>
      </c>
      <c r="M205" s="4" t="s">
        <v>24</v>
      </c>
      <c r="N205" s="6">
        <f t="shared" si="7"/>
        <v>11.647671124580011</v>
      </c>
    </row>
    <row r="206" spans="1:14" x14ac:dyDescent="0.3">
      <c r="A206" s="4" t="s">
        <v>371</v>
      </c>
      <c r="B206" s="4" t="s">
        <v>21</v>
      </c>
      <c r="C206" s="5">
        <v>45923</v>
      </c>
      <c r="D206" s="4" t="s">
        <v>28</v>
      </c>
      <c r="E206" s="6" t="s">
        <v>35</v>
      </c>
      <c r="F206" s="6" t="s">
        <v>70</v>
      </c>
      <c r="G206" s="4">
        <v>17147</v>
      </c>
      <c r="H206" s="4">
        <v>286</v>
      </c>
      <c r="I206" s="6">
        <v>291</v>
      </c>
      <c r="J206" s="6">
        <v>2439</v>
      </c>
      <c r="K206" s="7">
        <v>45631</v>
      </c>
      <c r="L206" s="6">
        <v>140494</v>
      </c>
      <c r="M206" s="4" t="s">
        <v>24</v>
      </c>
      <c r="N206" s="6">
        <f t="shared" si="7"/>
        <v>12.615485358805358</v>
      </c>
    </row>
    <row r="207" spans="1:14" x14ac:dyDescent="0.3">
      <c r="A207" s="4" t="s">
        <v>372</v>
      </c>
      <c r="B207" s="4" t="s">
        <v>26</v>
      </c>
      <c r="C207" s="5" t="s">
        <v>42</v>
      </c>
      <c r="D207" s="4" t="s">
        <v>16</v>
      </c>
      <c r="E207" s="6" t="s">
        <v>35</v>
      </c>
      <c r="F207" s="6" t="s">
        <v>70</v>
      </c>
      <c r="G207" s="4">
        <v>6632</v>
      </c>
      <c r="H207" s="4">
        <v>254</v>
      </c>
      <c r="I207" s="6">
        <v>525</v>
      </c>
      <c r="J207" s="6">
        <v>1013</v>
      </c>
      <c r="K207" s="7">
        <v>13838</v>
      </c>
      <c r="L207" s="6">
        <v>180180</v>
      </c>
      <c r="M207" s="4" t="s">
        <v>19</v>
      </c>
      <c r="N207" s="6">
        <f t="shared" si="7"/>
        <v>4.1131091131091129</v>
      </c>
    </row>
    <row r="208" spans="1:14" x14ac:dyDescent="0.3">
      <c r="A208" s="4" t="s">
        <v>373</v>
      </c>
      <c r="B208" s="4" t="s">
        <v>21</v>
      </c>
      <c r="C208" s="5" t="s">
        <v>374</v>
      </c>
      <c r="D208" s="4" t="s">
        <v>43</v>
      </c>
      <c r="E208" s="6" t="s">
        <v>93</v>
      </c>
      <c r="F208" s="6"/>
      <c r="G208" s="4">
        <v>8288</v>
      </c>
      <c r="H208" s="4">
        <v>1401</v>
      </c>
      <c r="I208" s="6">
        <v>819</v>
      </c>
      <c r="J208" s="6">
        <v>1235</v>
      </c>
      <c r="K208" s="7">
        <v>33446</v>
      </c>
      <c r="L208" s="6">
        <v>248786</v>
      </c>
      <c r="M208" s="4" t="s">
        <v>19</v>
      </c>
      <c r="N208" s="6">
        <f t="shared" si="7"/>
        <v>4.2237103373984066</v>
      </c>
    </row>
    <row r="209" spans="1:14" x14ac:dyDescent="0.3">
      <c r="A209" s="4" t="s">
        <v>375</v>
      </c>
      <c r="B209" s="4" t="s">
        <v>21</v>
      </c>
      <c r="C209" s="5" t="s">
        <v>42</v>
      </c>
      <c r="D209" s="4" t="s">
        <v>28</v>
      </c>
      <c r="E209" s="6" t="s">
        <v>22</v>
      </c>
      <c r="F209" s="6" t="s">
        <v>23</v>
      </c>
      <c r="G209" s="4">
        <v>5596</v>
      </c>
      <c r="H209" s="4">
        <v>1231</v>
      </c>
      <c r="I209" s="6">
        <v>473</v>
      </c>
      <c r="J209" s="6">
        <v>2251</v>
      </c>
      <c r="K209" s="7">
        <v>43705</v>
      </c>
      <c r="L209" s="6">
        <v>75643</v>
      </c>
      <c r="M209" s="4" t="s">
        <v>19</v>
      </c>
      <c r="N209" s="6">
        <f t="shared" si="7"/>
        <v>9.6505955607260425</v>
      </c>
    </row>
    <row r="210" spans="1:14" x14ac:dyDescent="0.3">
      <c r="A210" s="4" t="s">
        <v>376</v>
      </c>
      <c r="B210" s="4" t="s">
        <v>53</v>
      </c>
      <c r="C210" s="5" t="s">
        <v>377</v>
      </c>
      <c r="D210" s="4" t="s">
        <v>43</v>
      </c>
      <c r="E210" s="6" t="s">
        <v>35</v>
      </c>
      <c r="F210" s="6" t="s">
        <v>36</v>
      </c>
      <c r="G210" s="4">
        <v>13475</v>
      </c>
      <c r="H210" s="4">
        <v>1032</v>
      </c>
      <c r="I210" s="6">
        <v>295</v>
      </c>
      <c r="J210" s="6">
        <v>541</v>
      </c>
      <c r="K210" s="7">
        <v>43666</v>
      </c>
      <c r="L210" s="6">
        <v>202396</v>
      </c>
      <c r="M210" s="4" t="s">
        <v>63</v>
      </c>
      <c r="N210" s="6">
        <f t="shared" si="7"/>
        <v>7.3133856400324122</v>
      </c>
    </row>
    <row r="211" spans="1:14" x14ac:dyDescent="0.3">
      <c r="A211" s="4" t="s">
        <v>378</v>
      </c>
      <c r="B211" s="4" t="s">
        <v>26</v>
      </c>
      <c r="C211" s="5" t="s">
        <v>379</v>
      </c>
      <c r="D211" s="4" t="s">
        <v>34</v>
      </c>
      <c r="E211" s="6" t="s">
        <v>55</v>
      </c>
      <c r="F211" s="6" t="s">
        <v>56</v>
      </c>
      <c r="G211" s="4">
        <v>8168</v>
      </c>
      <c r="H211" s="4">
        <v>512</v>
      </c>
      <c r="I211" s="6">
        <v>442</v>
      </c>
      <c r="J211" s="6">
        <v>2343</v>
      </c>
      <c r="K211" s="7">
        <v>2753</v>
      </c>
      <c r="L211" s="6">
        <v>143896</v>
      </c>
      <c r="M211" s="4" t="s">
        <v>63</v>
      </c>
      <c r="N211" s="6">
        <f t="shared" si="7"/>
        <v>6.3393006059932171</v>
      </c>
    </row>
    <row r="212" spans="1:14" x14ac:dyDescent="0.3">
      <c r="A212" s="4" t="s">
        <v>380</v>
      </c>
      <c r="B212" s="4" t="s">
        <v>14</v>
      </c>
      <c r="C212" s="5">
        <v>45924</v>
      </c>
      <c r="D212" s="4" t="s">
        <v>16</v>
      </c>
      <c r="E212" s="6" t="s">
        <v>93</v>
      </c>
      <c r="F212" s="6"/>
      <c r="G212" s="4">
        <v>11795</v>
      </c>
      <c r="H212" s="4">
        <v>958</v>
      </c>
      <c r="I212" s="6">
        <v>814</v>
      </c>
      <c r="J212" s="6">
        <v>301</v>
      </c>
      <c r="K212" s="7">
        <v>12564</v>
      </c>
      <c r="L212" s="6">
        <v>179999</v>
      </c>
      <c r="M212" s="4" t="s">
        <v>24</v>
      </c>
      <c r="N212" s="6">
        <f t="shared" si="7"/>
        <v>7.5372640959116444</v>
      </c>
    </row>
    <row r="213" spans="1:14" x14ac:dyDescent="0.3">
      <c r="A213" s="4" t="s">
        <v>381</v>
      </c>
      <c r="B213" s="4" t="s">
        <v>14</v>
      </c>
      <c r="C213" s="5" t="s">
        <v>166</v>
      </c>
      <c r="D213" s="4" t="s">
        <v>34</v>
      </c>
      <c r="E213" s="6" t="s">
        <v>17</v>
      </c>
      <c r="F213" s="6" t="s">
        <v>18</v>
      </c>
      <c r="G213" s="4">
        <v>9561</v>
      </c>
      <c r="H213" s="4">
        <v>642</v>
      </c>
      <c r="I213" s="6">
        <v>581</v>
      </c>
      <c r="J213" s="6">
        <v>2572</v>
      </c>
      <c r="K213" s="7">
        <v>38552</v>
      </c>
      <c r="L213" s="6">
        <v>133680</v>
      </c>
      <c r="M213" s="4" t="s">
        <v>19</v>
      </c>
      <c r="N213" s="6">
        <f t="shared" si="7"/>
        <v>8.0670257330939563</v>
      </c>
    </row>
    <row r="214" spans="1:14" x14ac:dyDescent="0.3">
      <c r="A214" s="4" t="s">
        <v>382</v>
      </c>
      <c r="B214" s="4" t="s">
        <v>26</v>
      </c>
      <c r="C214" s="5" t="s">
        <v>383</v>
      </c>
      <c r="D214" s="4" t="s">
        <v>28</v>
      </c>
      <c r="E214" s="6" t="s">
        <v>55</v>
      </c>
      <c r="F214" s="6" t="s">
        <v>56</v>
      </c>
      <c r="G214" s="4">
        <v>10258</v>
      </c>
      <c r="H214" s="4">
        <v>527</v>
      </c>
      <c r="I214" s="6">
        <v>854</v>
      </c>
      <c r="J214" s="6">
        <v>2068</v>
      </c>
      <c r="K214" s="7">
        <v>45632</v>
      </c>
      <c r="L214" s="6">
        <v>136546</v>
      </c>
      <c r="M214" s="4" t="s">
        <v>63</v>
      </c>
      <c r="N214" s="6">
        <f t="shared" si="7"/>
        <v>8.5238674146441493</v>
      </c>
    </row>
    <row r="215" spans="1:14" x14ac:dyDescent="0.3">
      <c r="A215" s="4" t="s">
        <v>384</v>
      </c>
      <c r="B215" s="4" t="s">
        <v>14</v>
      </c>
      <c r="C215" s="5" t="s">
        <v>15</v>
      </c>
      <c r="D215" s="4" t="s">
        <v>34</v>
      </c>
      <c r="E215" s="6" t="s">
        <v>29</v>
      </c>
      <c r="F215" s="6" t="s">
        <v>30</v>
      </c>
      <c r="G215" s="4">
        <v>18616</v>
      </c>
      <c r="H215" s="4">
        <v>1277</v>
      </c>
      <c r="I215" s="6">
        <v>734</v>
      </c>
      <c r="J215" s="6">
        <v>2249</v>
      </c>
      <c r="K215" s="7">
        <v>3399</v>
      </c>
      <c r="L215" s="6">
        <v>193515</v>
      </c>
      <c r="M215" s="4" t="s">
        <v>37</v>
      </c>
      <c r="N215" s="6">
        <f>(G215+H215+I215)/L215*100</f>
        <v>10.659122031883832</v>
      </c>
    </row>
    <row r="216" spans="1:14" x14ac:dyDescent="0.3">
      <c r="A216" s="4" t="s">
        <v>385</v>
      </c>
      <c r="B216" s="4" t="s">
        <v>14</v>
      </c>
      <c r="C216" s="5">
        <v>45925</v>
      </c>
      <c r="D216" s="4" t="s">
        <v>34</v>
      </c>
      <c r="E216" s="6" t="s">
        <v>78</v>
      </c>
      <c r="F216" s="6" t="s">
        <v>40</v>
      </c>
      <c r="G216" s="4">
        <v>8371</v>
      </c>
      <c r="H216" s="4">
        <v>960</v>
      </c>
      <c r="I216" s="6">
        <v>548</v>
      </c>
      <c r="J216" s="6">
        <v>2936</v>
      </c>
      <c r="K216" s="7">
        <v>82543</v>
      </c>
      <c r="L216" s="6">
        <v>119973</v>
      </c>
      <c r="M216" s="4" t="s">
        <v>24</v>
      </c>
      <c r="N216" s="6">
        <f t="shared" ref="N216:N240" si="8">(G216+H216+I216)/L216*100</f>
        <v>8.2343527293641063</v>
      </c>
    </row>
    <row r="217" spans="1:14" x14ac:dyDescent="0.3">
      <c r="A217" s="4" t="s">
        <v>386</v>
      </c>
      <c r="B217" s="4" t="s">
        <v>26</v>
      </c>
      <c r="C217" s="5" t="s">
        <v>230</v>
      </c>
      <c r="D217" s="4" t="s">
        <v>28</v>
      </c>
      <c r="E217" s="6" t="s">
        <v>17</v>
      </c>
      <c r="F217" s="6" t="s">
        <v>18</v>
      </c>
      <c r="G217" s="4">
        <v>22590</v>
      </c>
      <c r="H217" s="4">
        <v>1462</v>
      </c>
      <c r="I217" s="6">
        <v>966</v>
      </c>
      <c r="J217" s="6">
        <v>2463</v>
      </c>
      <c r="K217" s="7">
        <v>29689</v>
      </c>
      <c r="L217" s="6">
        <v>103449</v>
      </c>
      <c r="M217" s="4" t="s">
        <v>31</v>
      </c>
      <c r="N217" s="6">
        <f t="shared" si="8"/>
        <v>24.183897379385012</v>
      </c>
    </row>
    <row r="218" spans="1:14" x14ac:dyDescent="0.3">
      <c r="A218" s="4" t="s">
        <v>387</v>
      </c>
      <c r="B218" s="4" t="s">
        <v>21</v>
      </c>
      <c r="C218" s="5">
        <v>45926</v>
      </c>
      <c r="D218" s="4" t="s">
        <v>43</v>
      </c>
      <c r="E218" s="6" t="s">
        <v>17</v>
      </c>
      <c r="F218" s="6" t="s">
        <v>18</v>
      </c>
      <c r="G218" s="4">
        <v>16369</v>
      </c>
      <c r="H218" s="4">
        <v>1452</v>
      </c>
      <c r="I218" s="6">
        <v>493</v>
      </c>
      <c r="J218" s="6">
        <v>1217</v>
      </c>
      <c r="K218" s="7">
        <v>91440</v>
      </c>
      <c r="L218" s="6">
        <v>149834</v>
      </c>
      <c r="M218" s="4" t="s">
        <v>24</v>
      </c>
      <c r="N218" s="6">
        <f t="shared" si="8"/>
        <v>12.222859965027965</v>
      </c>
    </row>
    <row r="219" spans="1:14" x14ac:dyDescent="0.3">
      <c r="A219" s="4" t="s">
        <v>388</v>
      </c>
      <c r="B219" s="4" t="s">
        <v>26</v>
      </c>
      <c r="C219" s="5" t="s">
        <v>389</v>
      </c>
      <c r="D219" s="4" t="s">
        <v>34</v>
      </c>
      <c r="E219" s="6" t="s">
        <v>93</v>
      </c>
      <c r="F219" s="6"/>
      <c r="G219" s="4">
        <v>14910</v>
      </c>
      <c r="H219" s="4">
        <v>778</v>
      </c>
      <c r="I219" s="6">
        <v>289</v>
      </c>
      <c r="J219" s="6">
        <v>2541</v>
      </c>
      <c r="K219" s="7">
        <v>14309</v>
      </c>
      <c r="L219" s="6">
        <v>247815</v>
      </c>
      <c r="M219" s="4" t="s">
        <v>31</v>
      </c>
      <c r="N219" s="6">
        <f t="shared" si="8"/>
        <v>6.4471480741682292</v>
      </c>
    </row>
    <row r="220" spans="1:14" x14ac:dyDescent="0.3">
      <c r="A220" s="4" t="s">
        <v>390</v>
      </c>
      <c r="B220" s="4" t="s">
        <v>21</v>
      </c>
      <c r="C220" s="5" t="s">
        <v>144</v>
      </c>
      <c r="D220" s="4" t="s">
        <v>43</v>
      </c>
      <c r="E220" s="6" t="s">
        <v>44</v>
      </c>
      <c r="F220" s="6" t="s">
        <v>45</v>
      </c>
      <c r="G220" s="4">
        <v>9943</v>
      </c>
      <c r="H220" s="4">
        <v>1274</v>
      </c>
      <c r="I220" s="6">
        <v>336</v>
      </c>
      <c r="J220" s="6">
        <v>389</v>
      </c>
      <c r="K220" s="7">
        <v>6145</v>
      </c>
      <c r="L220" s="6">
        <v>231305</v>
      </c>
      <c r="M220" s="4" t="s">
        <v>19</v>
      </c>
      <c r="N220" s="6">
        <f t="shared" si="8"/>
        <v>4.994703962300858</v>
      </c>
    </row>
    <row r="221" spans="1:14" x14ac:dyDescent="0.3">
      <c r="A221" s="4" t="s">
        <v>391</v>
      </c>
      <c r="B221" s="4" t="s">
        <v>14</v>
      </c>
      <c r="C221" s="5" t="s">
        <v>392</v>
      </c>
      <c r="D221" s="4" t="s">
        <v>34</v>
      </c>
      <c r="E221" s="6" t="s">
        <v>22</v>
      </c>
      <c r="F221" s="6" t="s">
        <v>23</v>
      </c>
      <c r="G221" s="4">
        <v>14199</v>
      </c>
      <c r="H221" s="4">
        <v>1206</v>
      </c>
      <c r="I221" s="6">
        <v>954</v>
      </c>
      <c r="J221" s="6">
        <v>2009</v>
      </c>
      <c r="K221" s="7">
        <v>8</v>
      </c>
      <c r="L221" s="6">
        <v>65537</v>
      </c>
      <c r="M221" s="4" t="s">
        <v>31</v>
      </c>
      <c r="N221" s="6">
        <f t="shared" si="8"/>
        <v>24.961472145505592</v>
      </c>
    </row>
    <row r="222" spans="1:14" x14ac:dyDescent="0.3">
      <c r="A222" s="4" t="s">
        <v>393</v>
      </c>
      <c r="B222" s="4" t="s">
        <v>14</v>
      </c>
      <c r="C222" s="5" t="s">
        <v>219</v>
      </c>
      <c r="D222" s="4" t="s">
        <v>43</v>
      </c>
      <c r="E222" s="6" t="s">
        <v>44</v>
      </c>
      <c r="F222" s="6" t="s">
        <v>45</v>
      </c>
      <c r="G222" s="4">
        <v>17728</v>
      </c>
      <c r="H222" s="4">
        <v>1487</v>
      </c>
      <c r="I222" s="6">
        <v>210</v>
      </c>
      <c r="J222" s="6">
        <v>2469</v>
      </c>
      <c r="K222" s="7">
        <v>30565</v>
      </c>
      <c r="L222" s="6">
        <v>117576</v>
      </c>
      <c r="M222" s="4" t="s">
        <v>19</v>
      </c>
      <c r="N222" s="6">
        <f t="shared" si="8"/>
        <v>16.521228822208613</v>
      </c>
    </row>
    <row r="223" spans="1:14" x14ac:dyDescent="0.3">
      <c r="A223" s="4" t="s">
        <v>394</v>
      </c>
      <c r="B223" s="4" t="s">
        <v>14</v>
      </c>
      <c r="C223" s="5" t="s">
        <v>395</v>
      </c>
      <c r="D223" s="4" t="s">
        <v>28</v>
      </c>
      <c r="E223" s="6" t="s">
        <v>93</v>
      </c>
      <c r="F223" s="6"/>
      <c r="G223" s="4">
        <v>8738</v>
      </c>
      <c r="H223" s="4">
        <v>295</v>
      </c>
      <c r="I223" s="6">
        <v>529</v>
      </c>
      <c r="J223" s="6">
        <v>442</v>
      </c>
      <c r="K223" s="7">
        <v>25286</v>
      </c>
      <c r="L223" s="6">
        <v>147522</v>
      </c>
      <c r="M223" s="4" t="s">
        <v>37</v>
      </c>
      <c r="N223" s="6">
        <f t="shared" si="8"/>
        <v>6.4817450956467511</v>
      </c>
    </row>
    <row r="224" spans="1:14" x14ac:dyDescent="0.3">
      <c r="A224" s="4" t="s">
        <v>396</v>
      </c>
      <c r="B224" s="4" t="s">
        <v>53</v>
      </c>
      <c r="C224" s="5" t="s">
        <v>318</v>
      </c>
      <c r="D224" s="4" t="s">
        <v>34</v>
      </c>
      <c r="E224" s="6" t="s">
        <v>29</v>
      </c>
      <c r="F224" s="6" t="s">
        <v>30</v>
      </c>
      <c r="G224" s="4">
        <v>17913</v>
      </c>
      <c r="H224" s="4">
        <v>1311</v>
      </c>
      <c r="I224" s="6">
        <v>859</v>
      </c>
      <c r="J224" s="6">
        <v>405</v>
      </c>
      <c r="K224" s="7">
        <v>59842</v>
      </c>
      <c r="L224" s="6">
        <v>62612</v>
      </c>
      <c r="M224" s="4" t="s">
        <v>31</v>
      </c>
      <c r="N224" s="6">
        <f t="shared" si="8"/>
        <v>32.075321024723699</v>
      </c>
    </row>
    <row r="225" spans="1:14" x14ac:dyDescent="0.3">
      <c r="A225" s="4" t="s">
        <v>397</v>
      </c>
      <c r="B225" s="4" t="s">
        <v>21</v>
      </c>
      <c r="C225" s="5">
        <v>45907</v>
      </c>
      <c r="D225" s="4" t="s">
        <v>28</v>
      </c>
      <c r="E225" s="6" t="s">
        <v>177</v>
      </c>
      <c r="F225" s="6" t="s">
        <v>178</v>
      </c>
      <c r="G225" s="4">
        <v>4472</v>
      </c>
      <c r="H225" s="4">
        <v>1301</v>
      </c>
      <c r="I225" s="6">
        <v>956</v>
      </c>
      <c r="J225" s="6">
        <v>1186</v>
      </c>
      <c r="K225" s="7">
        <v>3363</v>
      </c>
      <c r="L225" s="6">
        <v>46471</v>
      </c>
      <c r="M225" s="4" t="s">
        <v>24</v>
      </c>
      <c r="N225" s="6">
        <f t="shared" si="8"/>
        <v>14.479998278496268</v>
      </c>
    </row>
    <row r="226" spans="1:14" x14ac:dyDescent="0.3">
      <c r="A226" s="4" t="s">
        <v>398</v>
      </c>
      <c r="B226" s="4" t="s">
        <v>53</v>
      </c>
      <c r="C226" s="5" t="s">
        <v>399</v>
      </c>
      <c r="D226" s="4" t="s">
        <v>34</v>
      </c>
      <c r="E226" s="6" t="s">
        <v>48</v>
      </c>
      <c r="F226" s="6" t="s">
        <v>49</v>
      </c>
      <c r="G226" s="4">
        <v>21123</v>
      </c>
      <c r="H226" s="4">
        <v>1343</v>
      </c>
      <c r="I226" s="6">
        <v>589</v>
      </c>
      <c r="J226" s="6">
        <v>727</v>
      </c>
      <c r="K226" s="7">
        <v>87833</v>
      </c>
      <c r="L226" s="6">
        <v>206703</v>
      </c>
      <c r="M226" s="4" t="s">
        <v>19</v>
      </c>
      <c r="N226" s="6">
        <f t="shared" si="8"/>
        <v>11.153684271636116</v>
      </c>
    </row>
    <row r="227" spans="1:14" x14ac:dyDescent="0.3">
      <c r="A227" s="4" t="s">
        <v>400</v>
      </c>
      <c r="B227" s="4" t="s">
        <v>53</v>
      </c>
      <c r="C227" s="5">
        <v>45908</v>
      </c>
      <c r="D227" s="4" t="s">
        <v>28</v>
      </c>
      <c r="E227" s="6" t="s">
        <v>48</v>
      </c>
      <c r="F227" s="6" t="s">
        <v>49</v>
      </c>
      <c r="G227" s="4">
        <v>23785</v>
      </c>
      <c r="H227" s="4">
        <v>1013</v>
      </c>
      <c r="I227" s="6">
        <v>468</v>
      </c>
      <c r="J227" s="6">
        <v>1628</v>
      </c>
      <c r="K227" s="7">
        <v>8272</v>
      </c>
      <c r="L227" s="6">
        <v>71348</v>
      </c>
      <c r="M227" s="4" t="s">
        <v>24</v>
      </c>
      <c r="N227" s="6">
        <f t="shared" si="8"/>
        <v>35.412345125301343</v>
      </c>
    </row>
    <row r="228" spans="1:14" x14ac:dyDescent="0.3">
      <c r="A228" s="4" t="s">
        <v>401</v>
      </c>
      <c r="B228" s="4" t="s">
        <v>26</v>
      </c>
      <c r="C228" s="5" t="s">
        <v>402</v>
      </c>
      <c r="D228" s="4" t="s">
        <v>28</v>
      </c>
      <c r="E228" s="6" t="s">
        <v>22</v>
      </c>
      <c r="F228" s="6" t="s">
        <v>23</v>
      </c>
      <c r="G228" s="4">
        <v>17679</v>
      </c>
      <c r="H228" s="4">
        <v>690</v>
      </c>
      <c r="I228" s="6">
        <v>451</v>
      </c>
      <c r="J228" s="6">
        <v>2195</v>
      </c>
      <c r="K228" s="7">
        <v>4390</v>
      </c>
      <c r="L228" s="6">
        <v>235804</v>
      </c>
      <c r="M228" s="4" t="s">
        <v>63</v>
      </c>
      <c r="N228" s="6">
        <f t="shared" si="8"/>
        <v>7.9812047293514956</v>
      </c>
    </row>
    <row r="229" spans="1:14" x14ac:dyDescent="0.3">
      <c r="A229" s="4" t="s">
        <v>403</v>
      </c>
      <c r="B229" s="4" t="s">
        <v>53</v>
      </c>
      <c r="C229" s="5" t="s">
        <v>404</v>
      </c>
      <c r="D229" s="4" t="s">
        <v>34</v>
      </c>
      <c r="E229" s="6" t="s">
        <v>29</v>
      </c>
      <c r="F229" s="6" t="s">
        <v>30</v>
      </c>
      <c r="G229" s="4">
        <v>3761</v>
      </c>
      <c r="H229" s="4">
        <v>651</v>
      </c>
      <c r="I229" s="6">
        <v>493</v>
      </c>
      <c r="J229" s="6">
        <v>2294</v>
      </c>
      <c r="K229" s="7">
        <v>71696</v>
      </c>
      <c r="L229" s="6">
        <v>41177</v>
      </c>
      <c r="M229" s="4" t="s">
        <v>19</v>
      </c>
      <c r="N229" s="6">
        <f t="shared" si="8"/>
        <v>11.911989702989532</v>
      </c>
    </row>
    <row r="230" spans="1:14" x14ac:dyDescent="0.3">
      <c r="A230" s="4" t="s">
        <v>405</v>
      </c>
      <c r="B230" s="4" t="s">
        <v>26</v>
      </c>
      <c r="C230" s="5" t="s">
        <v>126</v>
      </c>
      <c r="D230" s="4" t="s">
        <v>34</v>
      </c>
      <c r="E230" s="6" t="s">
        <v>22</v>
      </c>
      <c r="F230" s="6" t="s">
        <v>23</v>
      </c>
      <c r="G230" s="4">
        <v>12167</v>
      </c>
      <c r="H230" s="4">
        <v>364</v>
      </c>
      <c r="I230" s="6">
        <v>160</v>
      </c>
      <c r="J230" s="6">
        <v>616</v>
      </c>
      <c r="K230" s="7">
        <v>42228</v>
      </c>
      <c r="L230" s="6">
        <v>175832</v>
      </c>
      <c r="M230" s="4" t="s">
        <v>31</v>
      </c>
      <c r="N230" s="6">
        <f t="shared" si="8"/>
        <v>7.217685063014696</v>
      </c>
    </row>
    <row r="231" spans="1:14" x14ac:dyDescent="0.3">
      <c r="A231" s="4" t="s">
        <v>406</v>
      </c>
      <c r="B231" s="4" t="s">
        <v>26</v>
      </c>
      <c r="C231" s="5" t="s">
        <v>275</v>
      </c>
      <c r="D231" s="4" t="s">
        <v>34</v>
      </c>
      <c r="E231" s="6" t="s">
        <v>40</v>
      </c>
      <c r="F231" s="6"/>
      <c r="G231" s="4">
        <v>12554</v>
      </c>
      <c r="H231" s="4">
        <v>381</v>
      </c>
      <c r="I231" s="6">
        <v>211</v>
      </c>
      <c r="J231" s="6">
        <v>2286</v>
      </c>
      <c r="K231" s="7">
        <v>50567</v>
      </c>
      <c r="L231" s="6">
        <v>72779</v>
      </c>
      <c r="M231" s="4" t="s">
        <v>19</v>
      </c>
      <c r="N231" s="6">
        <f t="shared" si="8"/>
        <v>18.062902760411657</v>
      </c>
    </row>
    <row r="232" spans="1:14" x14ac:dyDescent="0.3">
      <c r="A232" s="4" t="s">
        <v>407</v>
      </c>
      <c r="B232" s="4" t="s">
        <v>53</v>
      </c>
      <c r="C232" s="5">
        <v>45909</v>
      </c>
      <c r="D232" s="4" t="s">
        <v>16</v>
      </c>
      <c r="E232" s="6" t="s">
        <v>44</v>
      </c>
      <c r="F232" s="6" t="s">
        <v>45</v>
      </c>
      <c r="G232" s="4">
        <v>19260</v>
      </c>
      <c r="H232" s="4">
        <v>668</v>
      </c>
      <c r="I232" s="6">
        <v>994</v>
      </c>
      <c r="J232" s="6">
        <v>934</v>
      </c>
      <c r="K232" s="7">
        <v>20509</v>
      </c>
      <c r="L232" s="6">
        <v>61636</v>
      </c>
      <c r="M232" s="4" t="s">
        <v>24</v>
      </c>
      <c r="N232" s="6">
        <f t="shared" si="8"/>
        <v>33.944448049841</v>
      </c>
    </row>
    <row r="233" spans="1:14" x14ac:dyDescent="0.3">
      <c r="A233" s="4" t="s">
        <v>408</v>
      </c>
      <c r="B233" s="4" t="s">
        <v>21</v>
      </c>
      <c r="C233" s="5" t="s">
        <v>409</v>
      </c>
      <c r="D233" s="4" t="s">
        <v>43</v>
      </c>
      <c r="E233" s="6" t="s">
        <v>48</v>
      </c>
      <c r="F233" s="6" t="s">
        <v>49</v>
      </c>
      <c r="G233" s="4">
        <v>16277</v>
      </c>
      <c r="H233" s="4">
        <v>1109</v>
      </c>
      <c r="I233" s="6">
        <v>375</v>
      </c>
      <c r="J233" s="6">
        <v>2225</v>
      </c>
      <c r="K233" s="7">
        <v>1044</v>
      </c>
      <c r="L233" s="6">
        <v>121889</v>
      </c>
      <c r="M233" s="4" t="s">
        <v>37</v>
      </c>
      <c r="N233" s="6">
        <f t="shared" si="8"/>
        <v>14.571454356012437</v>
      </c>
    </row>
    <row r="234" spans="1:14" x14ac:dyDescent="0.3">
      <c r="A234" s="4" t="s">
        <v>410</v>
      </c>
      <c r="B234" s="4" t="s">
        <v>21</v>
      </c>
      <c r="C234" s="5" t="s">
        <v>160</v>
      </c>
      <c r="D234" s="4" t="s">
        <v>16</v>
      </c>
      <c r="E234" s="6" t="s">
        <v>17</v>
      </c>
      <c r="F234" s="6" t="s">
        <v>18</v>
      </c>
      <c r="G234" s="4">
        <v>5812</v>
      </c>
      <c r="H234" s="4">
        <v>934</v>
      </c>
      <c r="I234" s="6">
        <v>302</v>
      </c>
      <c r="J234" s="6">
        <v>2356</v>
      </c>
      <c r="K234" s="7">
        <v>37437</v>
      </c>
      <c r="L234" s="6">
        <v>93551</v>
      </c>
      <c r="M234" s="4" t="s">
        <v>19</v>
      </c>
      <c r="N234" s="6">
        <f t="shared" si="8"/>
        <v>7.5338585370546554</v>
      </c>
    </row>
    <row r="235" spans="1:14" x14ac:dyDescent="0.3">
      <c r="A235" s="4" t="s">
        <v>411</v>
      </c>
      <c r="B235" s="4" t="s">
        <v>21</v>
      </c>
      <c r="C235" s="5" t="s">
        <v>412</v>
      </c>
      <c r="D235" s="4" t="s">
        <v>16</v>
      </c>
      <c r="E235" s="6" t="s">
        <v>44</v>
      </c>
      <c r="F235" s="6" t="s">
        <v>45</v>
      </c>
      <c r="G235" s="4">
        <v>19844</v>
      </c>
      <c r="H235" s="4">
        <v>1022</v>
      </c>
      <c r="I235" s="6">
        <v>860</v>
      </c>
      <c r="J235" s="6">
        <v>2570</v>
      </c>
      <c r="K235" s="7">
        <v>23719</v>
      </c>
      <c r="L235" s="6">
        <v>182628</v>
      </c>
      <c r="M235" s="4" t="s">
        <v>31</v>
      </c>
      <c r="N235" s="6">
        <f t="shared" si="8"/>
        <v>11.896313818253498</v>
      </c>
    </row>
    <row r="236" spans="1:14" x14ac:dyDescent="0.3">
      <c r="A236" s="4" t="s">
        <v>413</v>
      </c>
      <c r="B236" s="4" t="s">
        <v>21</v>
      </c>
      <c r="C236" s="5" t="s">
        <v>346</v>
      </c>
      <c r="D236" s="4" t="s">
        <v>28</v>
      </c>
      <c r="E236" s="6" t="s">
        <v>35</v>
      </c>
      <c r="F236" s="6" t="s">
        <v>36</v>
      </c>
      <c r="G236" s="4">
        <v>20117</v>
      </c>
      <c r="H236" s="4">
        <v>1143</v>
      </c>
      <c r="I236" s="6">
        <v>713</v>
      </c>
      <c r="J236" s="6">
        <v>1739</v>
      </c>
      <c r="K236" s="7">
        <v>34444</v>
      </c>
      <c r="L236" s="6">
        <v>198670</v>
      </c>
      <c r="M236" s="4" t="s">
        <v>63</v>
      </c>
      <c r="N236" s="6">
        <f t="shared" si="8"/>
        <v>11.060049328031409</v>
      </c>
    </row>
    <row r="237" spans="1:14" x14ac:dyDescent="0.3">
      <c r="A237" s="4" t="s">
        <v>414</v>
      </c>
      <c r="B237" s="4" t="s">
        <v>21</v>
      </c>
      <c r="C237" s="5" t="s">
        <v>72</v>
      </c>
      <c r="D237" s="4" t="s">
        <v>34</v>
      </c>
      <c r="E237" s="6" t="s">
        <v>78</v>
      </c>
      <c r="F237" s="6" t="s">
        <v>40</v>
      </c>
      <c r="G237" s="4">
        <v>3605</v>
      </c>
      <c r="H237" s="4">
        <v>206</v>
      </c>
      <c r="I237" s="6">
        <v>921</v>
      </c>
      <c r="J237" s="6">
        <v>852</v>
      </c>
      <c r="K237" s="7">
        <v>11660</v>
      </c>
      <c r="L237" s="6">
        <v>182635</v>
      </c>
      <c r="M237" s="4" t="s">
        <v>37</v>
      </c>
      <c r="N237" s="6">
        <f t="shared" si="8"/>
        <v>2.590960111698196</v>
      </c>
    </row>
    <row r="238" spans="1:14" x14ac:dyDescent="0.3">
      <c r="A238" s="4" t="s">
        <v>415</v>
      </c>
      <c r="B238" s="4" t="s">
        <v>53</v>
      </c>
      <c r="C238" s="5" t="s">
        <v>299</v>
      </c>
      <c r="D238" s="4" t="s">
        <v>43</v>
      </c>
      <c r="E238" s="6" t="s">
        <v>29</v>
      </c>
      <c r="F238" s="6" t="s">
        <v>30</v>
      </c>
      <c r="G238" s="4">
        <v>7622</v>
      </c>
      <c r="H238" s="4">
        <v>529</v>
      </c>
      <c r="I238" s="6">
        <v>720</v>
      </c>
      <c r="J238" s="6">
        <v>1015</v>
      </c>
      <c r="K238" s="7">
        <v>71322</v>
      </c>
      <c r="L238" s="6">
        <v>86819</v>
      </c>
      <c r="M238" s="4" t="s">
        <v>63</v>
      </c>
      <c r="N238" s="6">
        <f t="shared" si="8"/>
        <v>10.217809465669957</v>
      </c>
    </row>
    <row r="239" spans="1:14" x14ac:dyDescent="0.3">
      <c r="A239" s="4" t="s">
        <v>416</v>
      </c>
      <c r="B239" s="4" t="s">
        <v>53</v>
      </c>
      <c r="C239" s="5" t="s">
        <v>417</v>
      </c>
      <c r="D239" s="4" t="s">
        <v>28</v>
      </c>
      <c r="E239" s="6" t="s">
        <v>55</v>
      </c>
      <c r="F239" s="6" t="s">
        <v>56</v>
      </c>
      <c r="G239" s="4">
        <v>8767</v>
      </c>
      <c r="H239" s="4">
        <v>974</v>
      </c>
      <c r="I239" s="6">
        <v>733</v>
      </c>
      <c r="J239" s="6">
        <v>1587</v>
      </c>
      <c r="K239" s="7">
        <v>74927</v>
      </c>
      <c r="L239" s="6">
        <v>113770</v>
      </c>
      <c r="M239" s="4" t="s">
        <v>19</v>
      </c>
      <c r="N239" s="6">
        <f t="shared" si="8"/>
        <v>9.2062933989628206</v>
      </c>
    </row>
    <row r="240" spans="1:14" x14ac:dyDescent="0.3">
      <c r="A240" s="4" t="s">
        <v>418</v>
      </c>
      <c r="B240" s="4" t="s">
        <v>14</v>
      </c>
      <c r="C240" s="5">
        <v>45910</v>
      </c>
      <c r="D240" s="4" t="s">
        <v>16</v>
      </c>
      <c r="E240" s="6" t="s">
        <v>22</v>
      </c>
      <c r="F240" s="6" t="s">
        <v>23</v>
      </c>
      <c r="G240" s="4">
        <v>13613</v>
      </c>
      <c r="H240" s="4">
        <v>350</v>
      </c>
      <c r="I240" s="6">
        <v>809</v>
      </c>
      <c r="J240" s="6">
        <v>2013</v>
      </c>
      <c r="K240" s="7">
        <v>20471</v>
      </c>
      <c r="L240" s="6">
        <v>198038</v>
      </c>
      <c r="M240" s="4" t="s">
        <v>24</v>
      </c>
      <c r="N240" s="6">
        <f t="shared" si="8"/>
        <v>7.4591745018632789</v>
      </c>
    </row>
    <row r="241" spans="1:14" x14ac:dyDescent="0.3">
      <c r="A241" s="4" t="s">
        <v>419</v>
      </c>
      <c r="B241" s="4" t="s">
        <v>21</v>
      </c>
      <c r="C241" s="5">
        <v>45911</v>
      </c>
      <c r="D241" s="4" t="s">
        <v>34</v>
      </c>
      <c r="E241" s="6" t="s">
        <v>44</v>
      </c>
      <c r="F241" s="6" t="s">
        <v>45</v>
      </c>
      <c r="G241" s="4">
        <v>21901</v>
      </c>
      <c r="H241" s="4">
        <v>1308</v>
      </c>
      <c r="I241" s="6">
        <v>724</v>
      </c>
      <c r="J241" s="6">
        <v>2183</v>
      </c>
      <c r="K241" s="7">
        <v>15996</v>
      </c>
      <c r="L241" s="6">
        <v>230961</v>
      </c>
      <c r="M241" s="4" t="s">
        <v>24</v>
      </c>
      <c r="N241" s="6">
        <f>(G241+H241+I241)/L241*100</f>
        <v>10.362355549205276</v>
      </c>
    </row>
    <row r="242" spans="1:14" x14ac:dyDescent="0.3">
      <c r="A242" s="4" t="s">
        <v>420</v>
      </c>
      <c r="B242" s="4" t="s">
        <v>53</v>
      </c>
      <c r="C242" s="5" t="s">
        <v>421</v>
      </c>
      <c r="D242" s="4" t="s">
        <v>28</v>
      </c>
      <c r="E242" s="6" t="s">
        <v>78</v>
      </c>
      <c r="F242" s="6" t="s">
        <v>40</v>
      </c>
      <c r="G242" s="4">
        <v>12589</v>
      </c>
      <c r="H242" s="4">
        <v>346</v>
      </c>
      <c r="I242" s="6">
        <v>459</v>
      </c>
      <c r="J242" s="6">
        <v>1407</v>
      </c>
      <c r="K242" s="7">
        <v>29254</v>
      </c>
      <c r="L242" s="6">
        <v>198059</v>
      </c>
      <c r="M242" s="4" t="s">
        <v>31</v>
      </c>
      <c r="N242" s="6">
        <f>(G242+H242+I242)/L242*100</f>
        <v>6.7626313371268161</v>
      </c>
    </row>
    <row r="243" spans="1:14" x14ac:dyDescent="0.3">
      <c r="A243" s="4" t="s">
        <v>422</v>
      </c>
      <c r="B243" s="4" t="s">
        <v>14</v>
      </c>
      <c r="C243" s="5">
        <v>45912</v>
      </c>
      <c r="D243" s="4" t="s">
        <v>34</v>
      </c>
      <c r="E243" s="6" t="s">
        <v>44</v>
      </c>
      <c r="F243" s="6" t="s">
        <v>45</v>
      </c>
      <c r="G243" s="4">
        <v>15918</v>
      </c>
      <c r="H243" s="4">
        <v>1114</v>
      </c>
      <c r="I243" s="6">
        <v>392</v>
      </c>
      <c r="J243" s="6">
        <v>1641</v>
      </c>
      <c r="K243" s="7">
        <v>28044</v>
      </c>
      <c r="L243" s="6">
        <v>118714</v>
      </c>
      <c r="M243" s="4" t="s">
        <v>24</v>
      </c>
      <c r="N243" s="6">
        <f t="shared" ref="N243:N253" si="9">(G243+H243+I243)/L243*100</f>
        <v>14.677291642097815</v>
      </c>
    </row>
    <row r="244" spans="1:14" x14ac:dyDescent="0.3">
      <c r="A244" s="4" t="s">
        <v>423</v>
      </c>
      <c r="B244" s="4" t="s">
        <v>21</v>
      </c>
      <c r="C244" s="5" t="s">
        <v>424</v>
      </c>
      <c r="D244" s="4" t="s">
        <v>28</v>
      </c>
      <c r="E244" s="6" t="s">
        <v>55</v>
      </c>
      <c r="F244" s="6" t="s">
        <v>56</v>
      </c>
      <c r="G244" s="4">
        <v>22119</v>
      </c>
      <c r="H244" s="4">
        <v>899</v>
      </c>
      <c r="I244" s="6">
        <v>642</v>
      </c>
      <c r="J244" s="6">
        <v>410</v>
      </c>
      <c r="K244" s="7">
        <v>49490</v>
      </c>
      <c r="L244" s="6">
        <v>229420</v>
      </c>
      <c r="M244" s="4" t="s">
        <v>37</v>
      </c>
      <c r="N244" s="6">
        <f t="shared" si="9"/>
        <v>10.312963124400662</v>
      </c>
    </row>
    <row r="245" spans="1:14" x14ac:dyDescent="0.3">
      <c r="A245" s="4" t="s">
        <v>425</v>
      </c>
      <c r="B245" s="4" t="s">
        <v>26</v>
      </c>
      <c r="C245" s="5">
        <v>45913</v>
      </c>
      <c r="D245" s="4" t="s">
        <v>34</v>
      </c>
      <c r="E245" s="6" t="s">
        <v>78</v>
      </c>
      <c r="F245" s="6" t="s">
        <v>40</v>
      </c>
      <c r="G245" s="4">
        <v>15046</v>
      </c>
      <c r="H245" s="4">
        <v>281</v>
      </c>
      <c r="I245" s="6">
        <v>515</v>
      </c>
      <c r="J245" s="6">
        <v>550</v>
      </c>
      <c r="K245" s="7">
        <v>22583</v>
      </c>
      <c r="L245" s="6">
        <v>64596</v>
      </c>
      <c r="M245" s="4" t="s">
        <v>24</v>
      </c>
      <c r="N245" s="6">
        <f t="shared" si="9"/>
        <v>24.524738373893122</v>
      </c>
    </row>
    <row r="246" spans="1:14" x14ac:dyDescent="0.3">
      <c r="A246" s="4" t="s">
        <v>426</v>
      </c>
      <c r="B246" s="4" t="s">
        <v>14</v>
      </c>
      <c r="C246" s="5" t="s">
        <v>427</v>
      </c>
      <c r="D246" s="4" t="s">
        <v>16</v>
      </c>
      <c r="E246" s="6" t="s">
        <v>35</v>
      </c>
      <c r="F246" s="6" t="s">
        <v>36</v>
      </c>
      <c r="G246" s="4">
        <v>4590</v>
      </c>
      <c r="H246" s="4">
        <v>713</v>
      </c>
      <c r="I246" s="6">
        <v>479</v>
      </c>
      <c r="J246" s="6">
        <v>2730</v>
      </c>
      <c r="K246" s="7">
        <v>41050</v>
      </c>
      <c r="L246" s="6">
        <v>204246</v>
      </c>
      <c r="M246" s="4" t="s">
        <v>31</v>
      </c>
      <c r="N246" s="6">
        <f t="shared" si="9"/>
        <v>2.8308999931455205</v>
      </c>
    </row>
    <row r="247" spans="1:14" x14ac:dyDescent="0.3">
      <c r="A247" s="4" t="s">
        <v>428</v>
      </c>
      <c r="B247" s="4" t="s">
        <v>53</v>
      </c>
      <c r="C247" s="5" t="s">
        <v>429</v>
      </c>
      <c r="D247" s="4" t="s">
        <v>43</v>
      </c>
      <c r="E247" s="6" t="s">
        <v>55</v>
      </c>
      <c r="F247" s="6" t="s">
        <v>56</v>
      </c>
      <c r="G247" s="4">
        <v>19447</v>
      </c>
      <c r="H247" s="4">
        <v>1014</v>
      </c>
      <c r="I247" s="6">
        <v>256</v>
      </c>
      <c r="J247" s="6">
        <v>2354</v>
      </c>
      <c r="K247" s="7">
        <v>5472</v>
      </c>
      <c r="L247" s="6">
        <v>104106</v>
      </c>
      <c r="M247" s="4" t="s">
        <v>19</v>
      </c>
      <c r="N247" s="6">
        <f t="shared" si="9"/>
        <v>19.899909707413599</v>
      </c>
    </row>
    <row r="248" spans="1:14" x14ac:dyDescent="0.3">
      <c r="A248" s="4" t="s">
        <v>430</v>
      </c>
      <c r="B248" s="4" t="s">
        <v>26</v>
      </c>
      <c r="C248" s="5" t="s">
        <v>431</v>
      </c>
      <c r="D248" s="4" t="s">
        <v>16</v>
      </c>
      <c r="E248" s="6" t="s">
        <v>93</v>
      </c>
      <c r="F248" s="6"/>
      <c r="G248" s="4">
        <v>6324</v>
      </c>
      <c r="H248" s="4">
        <v>908</v>
      </c>
      <c r="I248" s="6">
        <v>375</v>
      </c>
      <c r="J248" s="6">
        <v>758</v>
      </c>
      <c r="K248" s="7">
        <v>34850</v>
      </c>
      <c r="L248" s="6">
        <v>241039</v>
      </c>
      <c r="M248" s="4" t="s">
        <v>19</v>
      </c>
      <c r="N248" s="6">
        <f t="shared" si="9"/>
        <v>3.1559208260903837</v>
      </c>
    </row>
    <row r="249" spans="1:14" x14ac:dyDescent="0.3">
      <c r="A249" s="4" t="s">
        <v>432</v>
      </c>
      <c r="B249" s="4" t="s">
        <v>26</v>
      </c>
      <c r="C249" s="5">
        <v>45914</v>
      </c>
      <c r="D249" s="4" t="s">
        <v>43</v>
      </c>
      <c r="E249" s="6" t="s">
        <v>35</v>
      </c>
      <c r="F249" s="6" t="s">
        <v>70</v>
      </c>
      <c r="G249" s="4">
        <v>12787</v>
      </c>
      <c r="H249" s="4">
        <v>945</v>
      </c>
      <c r="I249" s="6">
        <v>974</v>
      </c>
      <c r="J249" s="6">
        <v>1407</v>
      </c>
      <c r="K249" s="7">
        <v>4037</v>
      </c>
      <c r="L249" s="6">
        <v>99182</v>
      </c>
      <c r="M249" s="4" t="s">
        <v>24</v>
      </c>
      <c r="N249" s="6">
        <f t="shared" si="9"/>
        <v>14.827287209372669</v>
      </c>
    </row>
    <row r="250" spans="1:14" x14ac:dyDescent="0.3">
      <c r="A250" s="4" t="s">
        <v>433</v>
      </c>
      <c r="B250" s="4" t="s">
        <v>26</v>
      </c>
      <c r="C250" s="5" t="s">
        <v>434</v>
      </c>
      <c r="D250" s="4" t="s">
        <v>34</v>
      </c>
      <c r="E250" s="6" t="s">
        <v>93</v>
      </c>
      <c r="F250" s="6"/>
      <c r="G250" s="4">
        <v>11111</v>
      </c>
      <c r="H250" s="4">
        <v>1222</v>
      </c>
      <c r="I250" s="6">
        <v>367</v>
      </c>
      <c r="J250" s="6">
        <v>507</v>
      </c>
      <c r="K250" s="7">
        <v>14129</v>
      </c>
      <c r="L250" s="6">
        <v>127163</v>
      </c>
      <c r="M250" s="4" t="s">
        <v>63</v>
      </c>
      <c r="N250" s="6">
        <f t="shared" si="9"/>
        <v>9.9871818060284827</v>
      </c>
    </row>
    <row r="251" spans="1:14" x14ac:dyDescent="0.3">
      <c r="A251" s="4" t="s">
        <v>435</v>
      </c>
      <c r="B251" s="4" t="s">
        <v>14</v>
      </c>
      <c r="C251" s="5" t="s">
        <v>142</v>
      </c>
      <c r="D251" s="4" t="s">
        <v>28</v>
      </c>
      <c r="E251" s="6" t="s">
        <v>48</v>
      </c>
      <c r="F251" s="6" t="s">
        <v>49</v>
      </c>
      <c r="G251" s="4">
        <v>7342</v>
      </c>
      <c r="H251" s="4">
        <v>906</v>
      </c>
      <c r="I251" s="6">
        <v>902</v>
      </c>
      <c r="J251" s="6">
        <v>1199</v>
      </c>
      <c r="K251" s="7">
        <v>68488</v>
      </c>
      <c r="L251" s="6">
        <v>79310</v>
      </c>
      <c r="M251" s="4" t="s">
        <v>19</v>
      </c>
      <c r="N251" s="6">
        <f t="shared" si="9"/>
        <v>11.537006682637751</v>
      </c>
    </row>
    <row r="252" spans="1:14" x14ac:dyDescent="0.3">
      <c r="A252" s="4" t="s">
        <v>436</v>
      </c>
      <c r="B252" s="4" t="s">
        <v>53</v>
      </c>
      <c r="C252" s="5">
        <v>45915</v>
      </c>
      <c r="D252" s="4" t="s">
        <v>16</v>
      </c>
      <c r="E252" s="6" t="s">
        <v>44</v>
      </c>
      <c r="F252" s="6" t="s">
        <v>45</v>
      </c>
      <c r="G252" s="4">
        <v>18389</v>
      </c>
      <c r="H252" s="4">
        <v>670</v>
      </c>
      <c r="I252" s="6">
        <v>655</v>
      </c>
      <c r="J252" s="6">
        <v>321</v>
      </c>
      <c r="K252" s="7">
        <v>21869</v>
      </c>
      <c r="L252" s="6">
        <v>96088</v>
      </c>
      <c r="M252" s="4" t="s">
        <v>24</v>
      </c>
      <c r="N252" s="6">
        <f t="shared" si="9"/>
        <v>20.516609774373489</v>
      </c>
    </row>
    <row r="253" spans="1:14" x14ac:dyDescent="0.3">
      <c r="A253" s="4" t="s">
        <v>437</v>
      </c>
      <c r="B253" s="4" t="s">
        <v>26</v>
      </c>
      <c r="C253" s="5" t="s">
        <v>322</v>
      </c>
      <c r="D253" s="4" t="s">
        <v>43</v>
      </c>
      <c r="E253" s="6" t="s">
        <v>35</v>
      </c>
      <c r="F253" s="6" t="s">
        <v>70</v>
      </c>
      <c r="G253" s="4">
        <v>10659</v>
      </c>
      <c r="H253" s="4">
        <v>1342</v>
      </c>
      <c r="I253" s="6">
        <v>408</v>
      </c>
      <c r="J253" s="6">
        <v>709</v>
      </c>
      <c r="K253" s="7">
        <v>16309</v>
      </c>
      <c r="L253" s="6">
        <v>168803</v>
      </c>
      <c r="M253" s="4" t="s">
        <v>31</v>
      </c>
      <c r="N253" s="6">
        <f t="shared" si="9"/>
        <v>7.3511726687321906</v>
      </c>
    </row>
    <row r="254" spans="1:14" x14ac:dyDescent="0.3">
      <c r="A254" s="4" t="s">
        <v>438</v>
      </c>
      <c r="B254" s="4" t="s">
        <v>21</v>
      </c>
      <c r="C254" s="5">
        <v>45916</v>
      </c>
      <c r="D254" s="4" t="s">
        <v>16</v>
      </c>
      <c r="E254" s="6" t="s">
        <v>93</v>
      </c>
      <c r="F254" s="6"/>
      <c r="G254" s="4">
        <v>16043</v>
      </c>
      <c r="H254" s="4">
        <v>595</v>
      </c>
      <c r="I254" s="6">
        <v>923</v>
      </c>
      <c r="J254" s="6">
        <v>1194</v>
      </c>
      <c r="K254" s="7">
        <v>52613</v>
      </c>
      <c r="L254" s="6">
        <v>179978</v>
      </c>
      <c r="M254" s="4" t="s">
        <v>24</v>
      </c>
      <c r="N254" s="6">
        <f>(G254+H254+I254)/L254*100</f>
        <v>9.7573036704486107</v>
      </c>
    </row>
    <row r="255" spans="1:14" x14ac:dyDescent="0.3">
      <c r="A255" s="4" t="s">
        <v>439</v>
      </c>
      <c r="B255" s="4" t="s">
        <v>26</v>
      </c>
      <c r="C255" s="5" t="s">
        <v>440</v>
      </c>
      <c r="D255" s="4" t="s">
        <v>43</v>
      </c>
      <c r="E255" s="6" t="s">
        <v>35</v>
      </c>
      <c r="F255" s="6" t="s">
        <v>70</v>
      </c>
      <c r="G255" s="4">
        <v>24350</v>
      </c>
      <c r="H255" s="4">
        <v>460</v>
      </c>
      <c r="I255" s="6">
        <v>666</v>
      </c>
      <c r="J255" s="6">
        <v>814</v>
      </c>
      <c r="K255" s="7">
        <v>21120</v>
      </c>
      <c r="L255" s="6">
        <v>76914</v>
      </c>
      <c r="M255" s="4" t="s">
        <v>19</v>
      </c>
      <c r="N255" s="6">
        <f t="shared" ref="N255:N278" si="10">(G255+H255+I255)/L255*100</f>
        <v>33.12270847960059</v>
      </c>
    </row>
    <row r="256" spans="1:14" x14ac:dyDescent="0.3">
      <c r="A256" s="4" t="s">
        <v>441</v>
      </c>
      <c r="B256" s="4" t="s">
        <v>26</v>
      </c>
      <c r="C256" s="5" t="s">
        <v>442</v>
      </c>
      <c r="D256" s="4" t="s">
        <v>16</v>
      </c>
      <c r="E256" s="6" t="s">
        <v>177</v>
      </c>
      <c r="F256" s="6" t="s">
        <v>178</v>
      </c>
      <c r="G256" s="4">
        <v>10837</v>
      </c>
      <c r="H256" s="4">
        <v>1004</v>
      </c>
      <c r="I256" s="6">
        <v>922</v>
      </c>
      <c r="J256" s="6">
        <v>1108</v>
      </c>
      <c r="K256" s="7">
        <v>36807</v>
      </c>
      <c r="L256" s="6">
        <v>150350</v>
      </c>
      <c r="M256" s="4" t="s">
        <v>31</v>
      </c>
      <c r="N256" s="6">
        <f t="shared" si="10"/>
        <v>8.4888593282341205</v>
      </c>
    </row>
    <row r="257" spans="1:14" x14ac:dyDescent="0.3">
      <c r="A257" s="4" t="s">
        <v>443</v>
      </c>
      <c r="B257" s="4" t="s">
        <v>14</v>
      </c>
      <c r="C257" s="5">
        <v>45917</v>
      </c>
      <c r="D257" s="4" t="s">
        <v>43</v>
      </c>
      <c r="E257" s="6" t="s">
        <v>44</v>
      </c>
      <c r="F257" s="6" t="s">
        <v>45</v>
      </c>
      <c r="G257" s="4">
        <v>2117</v>
      </c>
      <c r="H257" s="4">
        <v>1133</v>
      </c>
      <c r="I257" s="6">
        <v>203</v>
      </c>
      <c r="J257" s="6">
        <v>1173</v>
      </c>
      <c r="K257" s="7">
        <v>40125</v>
      </c>
      <c r="L257" s="6">
        <v>85379</v>
      </c>
      <c r="M257" s="4" t="s">
        <v>24</v>
      </c>
      <c r="N257" s="6">
        <f t="shared" si="10"/>
        <v>4.0443200318579509</v>
      </c>
    </row>
    <row r="258" spans="1:14" x14ac:dyDescent="0.3">
      <c r="A258" s="4" t="s">
        <v>444</v>
      </c>
      <c r="B258" s="4" t="s">
        <v>14</v>
      </c>
      <c r="C258" s="5" t="s">
        <v>252</v>
      </c>
      <c r="D258" s="4" t="s">
        <v>43</v>
      </c>
      <c r="E258" s="6" t="s">
        <v>35</v>
      </c>
      <c r="F258" s="6" t="s">
        <v>70</v>
      </c>
      <c r="G258" s="4">
        <v>15917</v>
      </c>
      <c r="H258" s="4">
        <v>1479</v>
      </c>
      <c r="I258" s="6">
        <v>196</v>
      </c>
      <c r="J258" s="6">
        <v>313</v>
      </c>
      <c r="K258" s="7">
        <v>48524</v>
      </c>
      <c r="L258" s="6">
        <v>249684</v>
      </c>
      <c r="M258" s="4" t="s">
        <v>37</v>
      </c>
      <c r="N258" s="6">
        <f t="shared" si="10"/>
        <v>7.0457057720959293</v>
      </c>
    </row>
    <row r="259" spans="1:14" x14ac:dyDescent="0.3">
      <c r="A259" s="4" t="s">
        <v>445</v>
      </c>
      <c r="B259" s="4" t="s">
        <v>53</v>
      </c>
      <c r="C259" s="5" t="s">
        <v>446</v>
      </c>
      <c r="D259" s="4" t="s">
        <v>34</v>
      </c>
      <c r="E259" s="6" t="s">
        <v>17</v>
      </c>
      <c r="F259" s="6" t="s">
        <v>18</v>
      </c>
      <c r="G259" s="4">
        <v>20935</v>
      </c>
      <c r="H259" s="4">
        <v>1104</v>
      </c>
      <c r="I259" s="6">
        <v>876</v>
      </c>
      <c r="J259" s="6">
        <v>1270</v>
      </c>
      <c r="K259" s="7">
        <v>21454</v>
      </c>
      <c r="L259" s="6">
        <v>208722</v>
      </c>
      <c r="M259" s="4" t="s">
        <v>31</v>
      </c>
      <c r="N259" s="6">
        <f t="shared" si="10"/>
        <v>10.978718103506099</v>
      </c>
    </row>
    <row r="260" spans="1:14" x14ac:dyDescent="0.3">
      <c r="A260" s="4" t="s">
        <v>447</v>
      </c>
      <c r="B260" s="4" t="s">
        <v>21</v>
      </c>
      <c r="C260" s="5" t="s">
        <v>448</v>
      </c>
      <c r="D260" s="4" t="s">
        <v>43</v>
      </c>
      <c r="E260" s="6" t="s">
        <v>22</v>
      </c>
      <c r="F260" s="6" t="s">
        <v>23</v>
      </c>
      <c r="G260" s="4">
        <v>16309</v>
      </c>
      <c r="H260" s="4">
        <v>1449</v>
      </c>
      <c r="I260" s="6">
        <v>838</v>
      </c>
      <c r="J260" s="6">
        <v>2434</v>
      </c>
      <c r="K260" s="7">
        <v>2940</v>
      </c>
      <c r="L260" s="6">
        <v>217953</v>
      </c>
      <c r="M260" s="4" t="s">
        <v>37</v>
      </c>
      <c r="N260" s="6">
        <f t="shared" si="10"/>
        <v>8.532114721981344</v>
      </c>
    </row>
    <row r="261" spans="1:14" x14ac:dyDescent="0.3">
      <c r="A261" s="4" t="s">
        <v>449</v>
      </c>
      <c r="B261" s="4" t="s">
        <v>14</v>
      </c>
      <c r="C261" s="5" t="s">
        <v>450</v>
      </c>
      <c r="D261" s="4" t="s">
        <v>34</v>
      </c>
      <c r="E261" s="6" t="s">
        <v>22</v>
      </c>
      <c r="F261" s="6" t="s">
        <v>23</v>
      </c>
      <c r="G261" s="4">
        <v>15234</v>
      </c>
      <c r="H261" s="4">
        <v>1276</v>
      </c>
      <c r="I261" s="6">
        <v>670</v>
      </c>
      <c r="J261" s="6">
        <v>1860</v>
      </c>
      <c r="K261" s="7">
        <v>60397</v>
      </c>
      <c r="L261" s="6">
        <v>86413</v>
      </c>
      <c r="M261" s="4" t="s">
        <v>63</v>
      </c>
      <c r="N261" s="6">
        <f t="shared" si="10"/>
        <v>19.881267864788864</v>
      </c>
    </row>
    <row r="262" spans="1:14" x14ac:dyDescent="0.3">
      <c r="A262" s="4" t="s">
        <v>451</v>
      </c>
      <c r="B262" s="4" t="s">
        <v>26</v>
      </c>
      <c r="C262" s="5" t="s">
        <v>452</v>
      </c>
      <c r="D262" s="4" t="s">
        <v>43</v>
      </c>
      <c r="E262" s="6" t="s">
        <v>17</v>
      </c>
      <c r="F262" s="6" t="s">
        <v>18</v>
      </c>
      <c r="G262" s="4">
        <v>7560</v>
      </c>
      <c r="H262" s="4">
        <v>1139</v>
      </c>
      <c r="I262" s="6">
        <v>248</v>
      </c>
      <c r="J262" s="6">
        <v>1624</v>
      </c>
      <c r="K262" s="7">
        <v>72237</v>
      </c>
      <c r="L262" s="6">
        <v>177084</v>
      </c>
      <c r="M262" s="4" t="s">
        <v>31</v>
      </c>
      <c r="N262" s="6">
        <f t="shared" si="10"/>
        <v>5.0524045085947913</v>
      </c>
    </row>
    <row r="263" spans="1:14" x14ac:dyDescent="0.3">
      <c r="A263" s="4" t="s">
        <v>453</v>
      </c>
      <c r="B263" s="4" t="s">
        <v>53</v>
      </c>
      <c r="C263" s="5" t="s">
        <v>421</v>
      </c>
      <c r="D263" s="4" t="s">
        <v>28</v>
      </c>
      <c r="E263" s="6" t="s">
        <v>78</v>
      </c>
      <c r="F263" s="6" t="s">
        <v>40</v>
      </c>
      <c r="G263" s="4">
        <v>22673</v>
      </c>
      <c r="H263" s="4">
        <v>1053</v>
      </c>
      <c r="I263" s="6">
        <v>169</v>
      </c>
      <c r="J263" s="6">
        <v>1566</v>
      </c>
      <c r="K263" s="7">
        <v>9417</v>
      </c>
      <c r="L263" s="6">
        <v>221187</v>
      </c>
      <c r="M263" s="4" t="s">
        <v>37</v>
      </c>
      <c r="N263" s="6">
        <f t="shared" si="10"/>
        <v>10.803076130152315</v>
      </c>
    </row>
    <row r="264" spans="1:14" x14ac:dyDescent="0.3">
      <c r="A264" s="4" t="s">
        <v>454</v>
      </c>
      <c r="B264" s="4" t="s">
        <v>26</v>
      </c>
      <c r="C264" s="5" t="s">
        <v>455</v>
      </c>
      <c r="D264" s="4" t="s">
        <v>28</v>
      </c>
      <c r="E264" s="6" t="s">
        <v>40</v>
      </c>
      <c r="F264" s="6"/>
      <c r="G264" s="4">
        <v>2846</v>
      </c>
      <c r="H264" s="4">
        <v>792</v>
      </c>
      <c r="I264" s="6">
        <v>902</v>
      </c>
      <c r="J264" s="6">
        <v>2469</v>
      </c>
      <c r="K264" s="7">
        <v>12130</v>
      </c>
      <c r="L264" s="6">
        <v>47151</v>
      </c>
      <c r="M264" s="4" t="s">
        <v>19</v>
      </c>
      <c r="N264" s="6">
        <f t="shared" si="10"/>
        <v>9.628639901592754</v>
      </c>
    </row>
    <row r="265" spans="1:14" x14ac:dyDescent="0.3">
      <c r="A265" s="4" t="s">
        <v>456</v>
      </c>
      <c r="B265" s="4" t="s">
        <v>26</v>
      </c>
      <c r="C265" s="5" t="s">
        <v>457</v>
      </c>
      <c r="D265" s="4" t="s">
        <v>28</v>
      </c>
      <c r="E265" s="6" t="s">
        <v>78</v>
      </c>
      <c r="F265" s="6" t="s">
        <v>40</v>
      </c>
      <c r="G265" s="4">
        <v>12954</v>
      </c>
      <c r="H265" s="4">
        <v>913</v>
      </c>
      <c r="I265" s="6">
        <v>722</v>
      </c>
      <c r="J265" s="6">
        <v>1049</v>
      </c>
      <c r="K265" s="7">
        <v>475</v>
      </c>
      <c r="L265" s="6">
        <v>97716</v>
      </c>
      <c r="M265" s="4" t="s">
        <v>19</v>
      </c>
      <c r="N265" s="6">
        <f t="shared" si="10"/>
        <v>14.930001228048631</v>
      </c>
    </row>
    <row r="266" spans="1:14" x14ac:dyDescent="0.3">
      <c r="A266" s="4" t="s">
        <v>458</v>
      </c>
      <c r="B266" s="4" t="s">
        <v>14</v>
      </c>
      <c r="C266" s="5" t="s">
        <v>459</v>
      </c>
      <c r="D266" s="4" t="s">
        <v>43</v>
      </c>
      <c r="E266" s="6" t="s">
        <v>55</v>
      </c>
      <c r="F266" s="6" t="s">
        <v>56</v>
      </c>
      <c r="G266" s="4">
        <v>15703</v>
      </c>
      <c r="H266" s="4">
        <v>1381</v>
      </c>
      <c r="I266" s="6">
        <v>639</v>
      </c>
      <c r="J266" s="6">
        <v>984</v>
      </c>
      <c r="K266" s="7">
        <v>10967</v>
      </c>
      <c r="L266" s="6">
        <v>133747</v>
      </c>
      <c r="M266" s="4" t="s">
        <v>63</v>
      </c>
      <c r="N266" s="6">
        <f t="shared" si="10"/>
        <v>13.251138343289941</v>
      </c>
    </row>
    <row r="267" spans="1:14" x14ac:dyDescent="0.3">
      <c r="A267" s="4" t="s">
        <v>460</v>
      </c>
      <c r="B267" s="4" t="s">
        <v>53</v>
      </c>
      <c r="C267" s="5" t="s">
        <v>461</v>
      </c>
      <c r="D267" s="4" t="s">
        <v>34</v>
      </c>
      <c r="E267" s="6" t="s">
        <v>55</v>
      </c>
      <c r="F267" s="6" t="s">
        <v>56</v>
      </c>
      <c r="G267" s="4">
        <v>17385</v>
      </c>
      <c r="H267" s="4">
        <v>831</v>
      </c>
      <c r="I267" s="6">
        <v>568</v>
      </c>
      <c r="J267" s="6">
        <v>2227</v>
      </c>
      <c r="K267" s="7">
        <v>49351</v>
      </c>
      <c r="L267" s="6">
        <v>207450</v>
      </c>
      <c r="M267" s="4" t="s">
        <v>31</v>
      </c>
      <c r="N267" s="6">
        <f t="shared" si="10"/>
        <v>9.0547119787900705</v>
      </c>
    </row>
    <row r="268" spans="1:14" x14ac:dyDescent="0.3">
      <c r="A268" s="4" t="s">
        <v>462</v>
      </c>
      <c r="B268" s="4" t="s">
        <v>21</v>
      </c>
      <c r="C268" s="5" t="s">
        <v>351</v>
      </c>
      <c r="D268" s="4" t="s">
        <v>34</v>
      </c>
      <c r="E268" s="6" t="s">
        <v>35</v>
      </c>
      <c r="F268" s="6" t="s">
        <v>70</v>
      </c>
      <c r="G268" s="4">
        <v>15746</v>
      </c>
      <c r="H268" s="4">
        <v>258</v>
      </c>
      <c r="I268" s="6">
        <v>839</v>
      </c>
      <c r="J268" s="6">
        <v>2656</v>
      </c>
      <c r="K268" s="7">
        <v>66614</v>
      </c>
      <c r="L268" s="6">
        <v>213724</v>
      </c>
      <c r="M268" s="4" t="s">
        <v>31</v>
      </c>
      <c r="N268" s="6">
        <f t="shared" si="10"/>
        <v>7.8807246729426739</v>
      </c>
    </row>
    <row r="269" spans="1:14" x14ac:dyDescent="0.3">
      <c r="A269" s="4" t="s">
        <v>463</v>
      </c>
      <c r="B269" s="4" t="s">
        <v>21</v>
      </c>
      <c r="C269" s="5" t="s">
        <v>464</v>
      </c>
      <c r="D269" s="4" t="s">
        <v>43</v>
      </c>
      <c r="E269" s="6" t="s">
        <v>93</v>
      </c>
      <c r="F269" s="6"/>
      <c r="G269" s="4">
        <v>24700</v>
      </c>
      <c r="H269" s="4">
        <v>327</v>
      </c>
      <c r="I269" s="6">
        <v>999</v>
      </c>
      <c r="J269" s="6">
        <v>994</v>
      </c>
      <c r="K269" s="7">
        <v>59400</v>
      </c>
      <c r="L269" s="6">
        <v>243502</v>
      </c>
      <c r="M269" s="4" t="s">
        <v>31</v>
      </c>
      <c r="N269" s="6">
        <f t="shared" si="10"/>
        <v>10.688207899729777</v>
      </c>
    </row>
    <row r="270" spans="1:14" x14ac:dyDescent="0.3">
      <c r="A270" s="4" t="s">
        <v>465</v>
      </c>
      <c r="B270" s="4" t="s">
        <v>14</v>
      </c>
      <c r="C270" s="5" t="s">
        <v>466</v>
      </c>
      <c r="D270" s="4" t="s">
        <v>28</v>
      </c>
      <c r="E270" s="6" t="s">
        <v>93</v>
      </c>
      <c r="F270" s="6"/>
      <c r="G270" s="4">
        <v>8469</v>
      </c>
      <c r="H270" s="4">
        <v>935</v>
      </c>
      <c r="I270" s="6">
        <v>211</v>
      </c>
      <c r="J270" s="6">
        <v>2635</v>
      </c>
      <c r="K270" s="7">
        <v>21890</v>
      </c>
      <c r="L270" s="6">
        <v>184539</v>
      </c>
      <c r="M270" s="4" t="s">
        <v>63</v>
      </c>
      <c r="N270" s="6">
        <f t="shared" si="10"/>
        <v>5.2102807536618281</v>
      </c>
    </row>
    <row r="271" spans="1:14" x14ac:dyDescent="0.3">
      <c r="A271" s="4" t="s">
        <v>467</v>
      </c>
      <c r="B271" s="4" t="s">
        <v>14</v>
      </c>
      <c r="C271" s="5" t="s">
        <v>366</v>
      </c>
      <c r="D271" s="4" t="s">
        <v>28</v>
      </c>
      <c r="E271" s="6" t="s">
        <v>22</v>
      </c>
      <c r="F271" s="6" t="s">
        <v>23</v>
      </c>
      <c r="G271" s="4">
        <v>11333</v>
      </c>
      <c r="H271" s="4">
        <v>920</v>
      </c>
      <c r="I271" s="6">
        <v>294</v>
      </c>
      <c r="J271" s="6">
        <v>606</v>
      </c>
      <c r="K271" s="7">
        <v>59490</v>
      </c>
      <c r="L271" s="6">
        <v>202082</v>
      </c>
      <c r="M271" s="4" t="s">
        <v>31</v>
      </c>
      <c r="N271" s="6">
        <f t="shared" si="10"/>
        <v>6.2088657079799292</v>
      </c>
    </row>
    <row r="272" spans="1:14" x14ac:dyDescent="0.3">
      <c r="A272" s="4" t="s">
        <v>468</v>
      </c>
      <c r="B272" s="4" t="s">
        <v>53</v>
      </c>
      <c r="C272" s="5" t="s">
        <v>469</v>
      </c>
      <c r="D272" s="4" t="s">
        <v>34</v>
      </c>
      <c r="E272" s="6" t="s">
        <v>29</v>
      </c>
      <c r="F272" s="6" t="s">
        <v>30</v>
      </c>
      <c r="G272" s="4">
        <v>18608</v>
      </c>
      <c r="H272" s="4">
        <v>1338</v>
      </c>
      <c r="I272" s="6">
        <v>365</v>
      </c>
      <c r="J272" s="6">
        <v>2289</v>
      </c>
      <c r="K272" s="7">
        <v>20785</v>
      </c>
      <c r="L272" s="6">
        <v>161999</v>
      </c>
      <c r="M272" s="4" t="s">
        <v>19</v>
      </c>
      <c r="N272" s="6">
        <f t="shared" si="10"/>
        <v>12.537731714393299</v>
      </c>
    </row>
    <row r="273" spans="1:14" x14ac:dyDescent="0.3">
      <c r="A273" s="4" t="s">
        <v>470</v>
      </c>
      <c r="B273" s="4" t="s">
        <v>21</v>
      </c>
      <c r="C273" s="5" t="s">
        <v>471</v>
      </c>
      <c r="D273" s="4" t="s">
        <v>28</v>
      </c>
      <c r="E273" s="6" t="s">
        <v>78</v>
      </c>
      <c r="F273" s="6" t="s">
        <v>40</v>
      </c>
      <c r="G273" s="4">
        <v>14819</v>
      </c>
      <c r="H273" s="4">
        <v>1432</v>
      </c>
      <c r="I273" s="6">
        <v>152</v>
      </c>
      <c r="J273" s="6">
        <v>961</v>
      </c>
      <c r="K273" s="7">
        <v>39154</v>
      </c>
      <c r="L273" s="6">
        <v>154793</v>
      </c>
      <c r="M273" s="4" t="s">
        <v>37</v>
      </c>
      <c r="N273" s="6">
        <f t="shared" si="10"/>
        <v>10.596732410380314</v>
      </c>
    </row>
    <row r="274" spans="1:14" x14ac:dyDescent="0.3">
      <c r="A274" s="4" t="s">
        <v>472</v>
      </c>
      <c r="B274" s="4" t="s">
        <v>21</v>
      </c>
      <c r="C274" s="5" t="s">
        <v>473</v>
      </c>
      <c r="D274" s="4" t="s">
        <v>16</v>
      </c>
      <c r="E274" s="6" t="s">
        <v>177</v>
      </c>
      <c r="F274" s="6" t="s">
        <v>178</v>
      </c>
      <c r="G274" s="4">
        <v>6208</v>
      </c>
      <c r="H274" s="4">
        <v>725</v>
      </c>
      <c r="I274" s="6">
        <v>309</v>
      </c>
      <c r="J274" s="6">
        <v>848</v>
      </c>
      <c r="K274" s="7">
        <v>39319</v>
      </c>
      <c r="L274" s="6">
        <v>225763</v>
      </c>
      <c r="M274" s="4" t="s">
        <v>19</v>
      </c>
      <c r="N274" s="6">
        <f t="shared" si="10"/>
        <v>3.207788698768177</v>
      </c>
    </row>
    <row r="275" spans="1:14" x14ac:dyDescent="0.3">
      <c r="A275" s="4" t="s">
        <v>474</v>
      </c>
      <c r="B275" s="4" t="s">
        <v>21</v>
      </c>
      <c r="C275" s="5" t="s">
        <v>293</v>
      </c>
      <c r="D275" s="4" t="s">
        <v>34</v>
      </c>
      <c r="E275" s="6" t="s">
        <v>44</v>
      </c>
      <c r="F275" s="6" t="s">
        <v>45</v>
      </c>
      <c r="G275" s="4">
        <v>8283</v>
      </c>
      <c r="H275" s="4">
        <v>720</v>
      </c>
      <c r="I275" s="6">
        <v>888</v>
      </c>
      <c r="J275" s="6">
        <v>611</v>
      </c>
      <c r="K275" s="7">
        <v>52791</v>
      </c>
      <c r="L275" s="6">
        <v>235229</v>
      </c>
      <c r="M275" s="4" t="s">
        <v>19</v>
      </c>
      <c r="N275" s="6">
        <f t="shared" si="10"/>
        <v>4.2048386891072109</v>
      </c>
    </row>
    <row r="276" spans="1:14" x14ac:dyDescent="0.3">
      <c r="A276" s="4" t="s">
        <v>475</v>
      </c>
      <c r="B276" s="4" t="s">
        <v>26</v>
      </c>
      <c r="C276" s="5" t="s">
        <v>446</v>
      </c>
      <c r="D276" s="4" t="s">
        <v>28</v>
      </c>
      <c r="E276" s="6" t="s">
        <v>48</v>
      </c>
      <c r="F276" s="6" t="s">
        <v>49</v>
      </c>
      <c r="G276" s="4">
        <v>4048</v>
      </c>
      <c r="H276" s="4">
        <v>751</v>
      </c>
      <c r="I276" s="6">
        <v>930</v>
      </c>
      <c r="J276" s="6">
        <v>1382</v>
      </c>
      <c r="K276" s="7">
        <v>16844</v>
      </c>
      <c r="L276" s="6">
        <v>148177</v>
      </c>
      <c r="M276" s="4" t="s">
        <v>37</v>
      </c>
      <c r="N276" s="6">
        <f t="shared" si="10"/>
        <v>3.8663220337839208</v>
      </c>
    </row>
    <row r="277" spans="1:14" x14ac:dyDescent="0.3">
      <c r="A277" s="4" t="s">
        <v>476</v>
      </c>
      <c r="B277" s="4" t="s">
        <v>21</v>
      </c>
      <c r="C277" s="5" t="s">
        <v>477</v>
      </c>
      <c r="D277" s="4" t="s">
        <v>34</v>
      </c>
      <c r="E277" s="6" t="s">
        <v>35</v>
      </c>
      <c r="F277" s="6" t="s">
        <v>36</v>
      </c>
      <c r="G277" s="4">
        <v>8233</v>
      </c>
      <c r="H277" s="4">
        <v>436</v>
      </c>
      <c r="I277" s="6">
        <v>269</v>
      </c>
      <c r="J277" s="6">
        <v>2037</v>
      </c>
      <c r="K277" s="7">
        <v>8875</v>
      </c>
      <c r="L277" s="6">
        <v>52289</v>
      </c>
      <c r="M277" s="4" t="s">
        <v>19</v>
      </c>
      <c r="N277" s="6">
        <f t="shared" si="10"/>
        <v>17.093461339861157</v>
      </c>
    </row>
    <row r="278" spans="1:14" x14ac:dyDescent="0.3">
      <c r="A278" s="4" t="s">
        <v>478</v>
      </c>
      <c r="B278" s="4" t="s">
        <v>26</v>
      </c>
      <c r="C278" s="5" t="s">
        <v>252</v>
      </c>
      <c r="D278" s="4" t="s">
        <v>16</v>
      </c>
      <c r="E278" s="6" t="s">
        <v>93</v>
      </c>
      <c r="F278" s="6"/>
      <c r="G278" s="4">
        <v>14941</v>
      </c>
      <c r="H278" s="4">
        <v>1424</v>
      </c>
      <c r="I278" s="6">
        <v>238</v>
      </c>
      <c r="J278" s="6">
        <v>1054</v>
      </c>
      <c r="K278" s="7">
        <v>20516</v>
      </c>
      <c r="L278" s="6">
        <v>216048</v>
      </c>
      <c r="M278" s="4" t="s">
        <v>63</v>
      </c>
      <c r="N278" s="6">
        <f t="shared" si="10"/>
        <v>7.6848663260016297</v>
      </c>
    </row>
    <row r="279" spans="1:14" x14ac:dyDescent="0.3">
      <c r="A279" s="4" t="s">
        <v>479</v>
      </c>
      <c r="B279" s="4" t="s">
        <v>53</v>
      </c>
      <c r="C279" s="5" t="s">
        <v>480</v>
      </c>
      <c r="D279" s="4" t="s">
        <v>34</v>
      </c>
      <c r="E279" s="6" t="s">
        <v>44</v>
      </c>
      <c r="F279" s="6" t="s">
        <v>45</v>
      </c>
      <c r="G279" s="4">
        <v>14607</v>
      </c>
      <c r="H279" s="4">
        <v>1458</v>
      </c>
      <c r="I279" s="6">
        <v>478</v>
      </c>
      <c r="J279" s="6">
        <v>334</v>
      </c>
      <c r="K279" s="7">
        <v>49257</v>
      </c>
      <c r="L279" s="6">
        <v>214668</v>
      </c>
      <c r="M279" s="4" t="s">
        <v>37</v>
      </c>
      <c r="N279" s="6">
        <f>(G279+H279+I279)/L279*100</f>
        <v>7.7063185942944452</v>
      </c>
    </row>
    <row r="280" spans="1:14" x14ac:dyDescent="0.3">
      <c r="A280" s="4" t="s">
        <v>481</v>
      </c>
      <c r="B280" s="4" t="s">
        <v>26</v>
      </c>
      <c r="C280" s="5" t="s">
        <v>164</v>
      </c>
      <c r="D280" s="4" t="s">
        <v>34</v>
      </c>
      <c r="E280" s="6" t="s">
        <v>35</v>
      </c>
      <c r="F280" s="6" t="s">
        <v>36</v>
      </c>
      <c r="G280" s="4">
        <v>11765</v>
      </c>
      <c r="H280" s="4">
        <v>693</v>
      </c>
      <c r="I280" s="6">
        <v>729</v>
      </c>
      <c r="J280" s="6">
        <v>744</v>
      </c>
      <c r="K280" s="7">
        <v>97772</v>
      </c>
      <c r="L280" s="6">
        <v>194243</v>
      </c>
      <c r="M280" s="4" t="s">
        <v>19</v>
      </c>
      <c r="N280" s="6">
        <f t="shared" ref="N280:N292" si="11">(G280+H280+I280)/L280*100</f>
        <v>6.7889190344053576</v>
      </c>
    </row>
    <row r="281" spans="1:14" x14ac:dyDescent="0.3">
      <c r="A281" s="4" t="s">
        <v>482</v>
      </c>
      <c r="B281" s="4" t="s">
        <v>53</v>
      </c>
      <c r="C281" s="5">
        <v>45918</v>
      </c>
      <c r="D281" s="4" t="s">
        <v>34</v>
      </c>
      <c r="E281" s="6" t="s">
        <v>44</v>
      </c>
      <c r="F281" s="6" t="s">
        <v>45</v>
      </c>
      <c r="G281" s="4">
        <v>3828</v>
      </c>
      <c r="H281" s="4">
        <v>203</v>
      </c>
      <c r="I281" s="6">
        <v>506</v>
      </c>
      <c r="J281" s="6">
        <v>2440</v>
      </c>
      <c r="K281" s="7">
        <v>63650</v>
      </c>
      <c r="L281" s="6">
        <v>126365</v>
      </c>
      <c r="M281" s="4" t="s">
        <v>24</v>
      </c>
      <c r="N281" s="6">
        <f t="shared" si="11"/>
        <v>3.5903929094290348</v>
      </c>
    </row>
    <row r="282" spans="1:14" x14ac:dyDescent="0.3">
      <c r="A282" s="4" t="s">
        <v>483</v>
      </c>
      <c r="B282" s="4" t="s">
        <v>21</v>
      </c>
      <c r="C282" s="5" t="s">
        <v>484</v>
      </c>
      <c r="D282" s="4" t="s">
        <v>34</v>
      </c>
      <c r="E282" s="6" t="s">
        <v>35</v>
      </c>
      <c r="F282" s="6" t="s">
        <v>70</v>
      </c>
      <c r="G282" s="4">
        <v>3917</v>
      </c>
      <c r="H282" s="4">
        <v>865</v>
      </c>
      <c r="I282" s="6">
        <v>759</v>
      </c>
      <c r="J282" s="6">
        <v>2282</v>
      </c>
      <c r="K282" s="7">
        <v>56125</v>
      </c>
      <c r="L282" s="6">
        <v>154014</v>
      </c>
      <c r="M282" s="4" t="s">
        <v>19</v>
      </c>
      <c r="N282" s="6">
        <f t="shared" si="11"/>
        <v>3.5977248821535706</v>
      </c>
    </row>
    <row r="283" spans="1:14" x14ac:dyDescent="0.3">
      <c r="A283" s="4" t="s">
        <v>485</v>
      </c>
      <c r="B283" s="4" t="s">
        <v>21</v>
      </c>
      <c r="C283" s="5" t="s">
        <v>486</v>
      </c>
      <c r="D283" s="4" t="s">
        <v>16</v>
      </c>
      <c r="E283" s="6" t="s">
        <v>35</v>
      </c>
      <c r="F283" s="6" t="s">
        <v>36</v>
      </c>
      <c r="G283" s="4">
        <v>22618</v>
      </c>
      <c r="H283" s="4">
        <v>641</v>
      </c>
      <c r="I283" s="6">
        <v>416</v>
      </c>
      <c r="J283" s="6">
        <v>1530</v>
      </c>
      <c r="K283" s="7">
        <v>18395</v>
      </c>
      <c r="L283" s="6">
        <v>215211</v>
      </c>
      <c r="M283" s="4" t="s">
        <v>63</v>
      </c>
      <c r="N283" s="6">
        <f t="shared" si="11"/>
        <v>11.000831741871931</v>
      </c>
    </row>
    <row r="284" spans="1:14" x14ac:dyDescent="0.3">
      <c r="A284" s="4" t="s">
        <v>487</v>
      </c>
      <c r="B284" s="4" t="s">
        <v>53</v>
      </c>
      <c r="C284" s="5" t="s">
        <v>488</v>
      </c>
      <c r="D284" s="4" t="s">
        <v>43</v>
      </c>
      <c r="E284" s="6" t="s">
        <v>48</v>
      </c>
      <c r="F284" s="6" t="s">
        <v>49</v>
      </c>
      <c r="G284" s="4">
        <v>8988</v>
      </c>
      <c r="H284" s="4">
        <v>228</v>
      </c>
      <c r="I284" s="6">
        <v>766</v>
      </c>
      <c r="J284" s="6">
        <v>652</v>
      </c>
      <c r="K284" s="7">
        <v>63789</v>
      </c>
      <c r="L284" s="6">
        <v>219785</v>
      </c>
      <c r="M284" s="4" t="s">
        <v>31</v>
      </c>
      <c r="N284" s="6">
        <f t="shared" si="11"/>
        <v>4.5417112177810131</v>
      </c>
    </row>
    <row r="285" spans="1:14" x14ac:dyDescent="0.3">
      <c r="A285" s="4" t="s">
        <v>489</v>
      </c>
      <c r="B285" s="4" t="s">
        <v>14</v>
      </c>
      <c r="C285" s="5" t="s">
        <v>89</v>
      </c>
      <c r="D285" s="4" t="s">
        <v>34</v>
      </c>
      <c r="E285" s="6" t="s">
        <v>44</v>
      </c>
      <c r="F285" s="6" t="s">
        <v>45</v>
      </c>
      <c r="G285" s="4">
        <v>20410</v>
      </c>
      <c r="H285" s="4">
        <v>1332</v>
      </c>
      <c r="I285" s="6">
        <v>472</v>
      </c>
      <c r="J285" s="6">
        <v>1202</v>
      </c>
      <c r="K285" s="7">
        <v>9418</v>
      </c>
      <c r="L285" s="6">
        <v>200806</v>
      </c>
      <c r="M285" s="4" t="s">
        <v>19</v>
      </c>
      <c r="N285" s="6">
        <f t="shared" si="11"/>
        <v>11.062418453631864</v>
      </c>
    </row>
    <row r="286" spans="1:14" x14ac:dyDescent="0.3">
      <c r="A286" s="4" t="s">
        <v>490</v>
      </c>
      <c r="B286" s="4" t="s">
        <v>53</v>
      </c>
      <c r="C286" s="5" t="s">
        <v>434</v>
      </c>
      <c r="D286" s="4" t="s">
        <v>34</v>
      </c>
      <c r="E286" s="6" t="s">
        <v>17</v>
      </c>
      <c r="F286" s="6" t="s">
        <v>18</v>
      </c>
      <c r="G286" s="4">
        <v>16594</v>
      </c>
      <c r="H286" s="4">
        <v>809</v>
      </c>
      <c r="I286" s="6">
        <v>784</v>
      </c>
      <c r="J286" s="6">
        <v>1655</v>
      </c>
      <c r="K286" s="7">
        <v>35505</v>
      </c>
      <c r="L286" s="6">
        <v>112588</v>
      </c>
      <c r="M286" s="4" t="s">
        <v>31</v>
      </c>
      <c r="N286" s="6">
        <f t="shared" si="11"/>
        <v>16.153586527871532</v>
      </c>
    </row>
    <row r="287" spans="1:14" x14ac:dyDescent="0.3">
      <c r="A287" s="4" t="s">
        <v>491</v>
      </c>
      <c r="B287" s="4" t="s">
        <v>14</v>
      </c>
      <c r="C287" s="5">
        <v>45919</v>
      </c>
      <c r="D287" s="4" t="s">
        <v>28</v>
      </c>
      <c r="E287" s="6" t="s">
        <v>48</v>
      </c>
      <c r="F287" s="6" t="s">
        <v>49</v>
      </c>
      <c r="G287" s="4">
        <v>22128</v>
      </c>
      <c r="H287" s="4">
        <v>1004</v>
      </c>
      <c r="I287" s="6">
        <v>690</v>
      </c>
      <c r="J287" s="6">
        <v>2048</v>
      </c>
      <c r="K287" s="7">
        <v>19443</v>
      </c>
      <c r="L287" s="6">
        <v>103646</v>
      </c>
      <c r="M287" s="4" t="s">
        <v>24</v>
      </c>
      <c r="N287" s="6">
        <f t="shared" si="11"/>
        <v>22.984003241803833</v>
      </c>
    </row>
    <row r="288" spans="1:14" x14ac:dyDescent="0.3">
      <c r="A288" s="4" t="s">
        <v>492</v>
      </c>
      <c r="B288" s="4" t="s">
        <v>26</v>
      </c>
      <c r="C288" s="5" t="s">
        <v>358</v>
      </c>
      <c r="D288" s="4" t="s">
        <v>34</v>
      </c>
      <c r="E288" s="6" t="s">
        <v>35</v>
      </c>
      <c r="F288" s="6" t="s">
        <v>36</v>
      </c>
      <c r="G288" s="4">
        <v>14977</v>
      </c>
      <c r="H288" s="4">
        <v>274</v>
      </c>
      <c r="I288" s="6">
        <v>798</v>
      </c>
      <c r="J288" s="6">
        <v>458</v>
      </c>
      <c r="K288" s="7">
        <v>6636</v>
      </c>
      <c r="L288" s="6">
        <v>43654</v>
      </c>
      <c r="M288" s="4" t="s">
        <v>19</v>
      </c>
      <c r="N288" s="6">
        <f t="shared" si="11"/>
        <v>36.76409950978146</v>
      </c>
    </row>
    <row r="289" spans="1:14" x14ac:dyDescent="0.3">
      <c r="A289" s="4" t="s">
        <v>493</v>
      </c>
      <c r="B289" s="4" t="s">
        <v>26</v>
      </c>
      <c r="C289" s="5" t="s">
        <v>494</v>
      </c>
      <c r="D289" s="4" t="s">
        <v>28</v>
      </c>
      <c r="E289" s="6" t="s">
        <v>48</v>
      </c>
      <c r="F289" s="6" t="s">
        <v>49</v>
      </c>
      <c r="G289" s="4">
        <v>2009</v>
      </c>
      <c r="H289" s="4">
        <v>1037</v>
      </c>
      <c r="I289" s="6">
        <v>344</v>
      </c>
      <c r="J289" s="6">
        <v>2277</v>
      </c>
      <c r="K289" s="7">
        <v>85743</v>
      </c>
      <c r="L289" s="6">
        <v>58743</v>
      </c>
      <c r="M289" s="4" t="s">
        <v>37</v>
      </c>
      <c r="N289" s="6">
        <f t="shared" si="11"/>
        <v>5.7709003625963939</v>
      </c>
    </row>
    <row r="290" spans="1:14" x14ac:dyDescent="0.3">
      <c r="A290" s="4" t="s">
        <v>495</v>
      </c>
      <c r="B290" s="4" t="s">
        <v>26</v>
      </c>
      <c r="C290" s="5" t="s">
        <v>268</v>
      </c>
      <c r="D290" s="4" t="s">
        <v>43</v>
      </c>
      <c r="E290" s="6" t="s">
        <v>44</v>
      </c>
      <c r="F290" s="6" t="s">
        <v>45</v>
      </c>
      <c r="G290" s="4">
        <v>18644</v>
      </c>
      <c r="H290" s="4">
        <v>1369</v>
      </c>
      <c r="I290" s="6">
        <v>887</v>
      </c>
      <c r="J290" s="6">
        <v>1256</v>
      </c>
      <c r="K290" s="7">
        <v>43415</v>
      </c>
      <c r="L290" s="6">
        <v>88368</v>
      </c>
      <c r="M290" s="4" t="s">
        <v>31</v>
      </c>
      <c r="N290" s="6">
        <f t="shared" si="11"/>
        <v>23.651095419156256</v>
      </c>
    </row>
    <row r="291" spans="1:14" x14ac:dyDescent="0.3">
      <c r="A291" s="4" t="s">
        <v>496</v>
      </c>
      <c r="B291" s="4" t="s">
        <v>21</v>
      </c>
      <c r="C291" s="5">
        <v>45920</v>
      </c>
      <c r="D291" s="4" t="s">
        <v>16</v>
      </c>
      <c r="E291" s="6" t="s">
        <v>40</v>
      </c>
      <c r="F291" s="6"/>
      <c r="G291" s="4">
        <v>24422</v>
      </c>
      <c r="H291" s="4">
        <v>327</v>
      </c>
      <c r="I291" s="6">
        <v>481</v>
      </c>
      <c r="J291" s="6">
        <v>2371</v>
      </c>
      <c r="K291" s="7">
        <v>35340</v>
      </c>
      <c r="L291" s="6">
        <v>245244</v>
      </c>
      <c r="M291" s="4" t="s">
        <v>24</v>
      </c>
      <c r="N291" s="6">
        <f t="shared" si="11"/>
        <v>10.287713460879777</v>
      </c>
    </row>
    <row r="292" spans="1:14" x14ac:dyDescent="0.3">
      <c r="A292" s="4" t="s">
        <v>497</v>
      </c>
      <c r="B292" s="4" t="s">
        <v>26</v>
      </c>
      <c r="C292" s="5" t="s">
        <v>82</v>
      </c>
      <c r="D292" s="4" t="s">
        <v>16</v>
      </c>
      <c r="E292" s="6" t="s">
        <v>44</v>
      </c>
      <c r="F292" s="6" t="s">
        <v>45</v>
      </c>
      <c r="G292" s="4">
        <v>11865</v>
      </c>
      <c r="H292" s="4">
        <v>241</v>
      </c>
      <c r="I292" s="6">
        <v>319</v>
      </c>
      <c r="J292" s="6">
        <v>703</v>
      </c>
      <c r="K292" s="7">
        <v>69596</v>
      </c>
      <c r="L292" s="6">
        <v>177513</v>
      </c>
      <c r="M292" s="4" t="s">
        <v>37</v>
      </c>
      <c r="N292" s="6">
        <f t="shared" si="11"/>
        <v>6.9994873614890176</v>
      </c>
    </row>
    <row r="293" spans="1:14" x14ac:dyDescent="0.3">
      <c r="A293" s="4" t="s">
        <v>498</v>
      </c>
      <c r="B293" s="4" t="s">
        <v>14</v>
      </c>
      <c r="C293" s="5" t="s">
        <v>499</v>
      </c>
      <c r="D293" s="4" t="s">
        <v>43</v>
      </c>
      <c r="E293" s="6" t="s">
        <v>44</v>
      </c>
      <c r="F293" s="6" t="s">
        <v>45</v>
      </c>
      <c r="G293" s="4">
        <v>4219</v>
      </c>
      <c r="H293" s="4">
        <v>240</v>
      </c>
      <c r="I293" s="6">
        <v>670</v>
      </c>
      <c r="J293" s="6">
        <v>815</v>
      </c>
      <c r="K293" s="7">
        <v>11978</v>
      </c>
      <c r="L293" s="6">
        <v>159735</v>
      </c>
      <c r="M293" s="4" t="s">
        <v>37</v>
      </c>
      <c r="N293" s="6">
        <f>(G293+H293+I293)/L293*100</f>
        <v>3.2109431245500355</v>
      </c>
    </row>
    <row r="294" spans="1:14" x14ac:dyDescent="0.3">
      <c r="A294" s="4" t="s">
        <v>500</v>
      </c>
      <c r="B294" s="4" t="s">
        <v>26</v>
      </c>
      <c r="C294" s="5" t="s">
        <v>501</v>
      </c>
      <c r="D294" s="4" t="s">
        <v>16</v>
      </c>
      <c r="E294" s="6" t="s">
        <v>35</v>
      </c>
      <c r="F294" s="6" t="s">
        <v>70</v>
      </c>
      <c r="G294" s="4">
        <v>9041</v>
      </c>
      <c r="H294" s="4">
        <v>1133</v>
      </c>
      <c r="I294" s="6">
        <v>612</v>
      </c>
      <c r="J294" s="6">
        <v>1687</v>
      </c>
      <c r="K294" s="7">
        <v>28102</v>
      </c>
      <c r="L294" s="6">
        <v>195683</v>
      </c>
      <c r="M294" s="4" t="s">
        <v>37</v>
      </c>
      <c r="N294" s="6">
        <f t="shared" ref="N294:N301" si="12">(G294+H294+I294)/L294*100</f>
        <v>5.51197600200324</v>
      </c>
    </row>
    <row r="295" spans="1:14" x14ac:dyDescent="0.3">
      <c r="A295" s="4" t="s">
        <v>502</v>
      </c>
      <c r="B295" s="4" t="s">
        <v>53</v>
      </c>
      <c r="C295" s="5" t="s">
        <v>503</v>
      </c>
      <c r="D295" s="4" t="s">
        <v>43</v>
      </c>
      <c r="E295" s="6" t="s">
        <v>78</v>
      </c>
      <c r="F295" s="6" t="s">
        <v>40</v>
      </c>
      <c r="G295" s="4">
        <v>20444</v>
      </c>
      <c r="H295" s="4">
        <v>233</v>
      </c>
      <c r="I295" s="6">
        <v>189</v>
      </c>
      <c r="J295" s="6">
        <v>2879</v>
      </c>
      <c r="K295" s="7">
        <v>28185</v>
      </c>
      <c r="L295" s="6">
        <v>159891</v>
      </c>
      <c r="M295" s="4" t="s">
        <v>37</v>
      </c>
      <c r="N295" s="6">
        <f t="shared" si="12"/>
        <v>13.050140408153055</v>
      </c>
    </row>
    <row r="296" spans="1:14" x14ac:dyDescent="0.3">
      <c r="A296" s="4" t="s">
        <v>504</v>
      </c>
      <c r="B296" s="4" t="s">
        <v>53</v>
      </c>
      <c r="C296" s="5" t="s">
        <v>505</v>
      </c>
      <c r="D296" s="4" t="s">
        <v>43</v>
      </c>
      <c r="E296" s="6" t="s">
        <v>17</v>
      </c>
      <c r="F296" s="6" t="s">
        <v>18</v>
      </c>
      <c r="G296" s="4">
        <v>7287</v>
      </c>
      <c r="H296" s="4">
        <v>1240</v>
      </c>
      <c r="I296" s="6">
        <v>686</v>
      </c>
      <c r="J296" s="6">
        <v>1255</v>
      </c>
      <c r="K296" s="7">
        <v>15403</v>
      </c>
      <c r="L296" s="6">
        <v>147971</v>
      </c>
      <c r="M296" s="4" t="s">
        <v>19</v>
      </c>
      <c r="N296" s="6">
        <f t="shared" si="12"/>
        <v>6.2262200025680707</v>
      </c>
    </row>
    <row r="297" spans="1:14" x14ac:dyDescent="0.3">
      <c r="A297" s="4" t="s">
        <v>506</v>
      </c>
      <c r="B297" s="4" t="s">
        <v>21</v>
      </c>
      <c r="C297" s="5" t="s">
        <v>507</v>
      </c>
      <c r="D297" s="4" t="s">
        <v>43</v>
      </c>
      <c r="E297" s="6" t="s">
        <v>177</v>
      </c>
      <c r="F297" s="6" t="s">
        <v>178</v>
      </c>
      <c r="G297" s="4">
        <v>3619</v>
      </c>
      <c r="H297" s="4">
        <v>1376</v>
      </c>
      <c r="I297" s="6">
        <v>410</v>
      </c>
      <c r="J297" s="6">
        <v>2499</v>
      </c>
      <c r="K297" s="7">
        <v>58146</v>
      </c>
      <c r="L297" s="6">
        <v>52149</v>
      </c>
      <c r="M297" s="4" t="s">
        <v>19</v>
      </c>
      <c r="N297" s="6">
        <f t="shared" si="12"/>
        <v>10.364532397553166</v>
      </c>
    </row>
    <row r="298" spans="1:14" x14ac:dyDescent="0.3">
      <c r="A298" s="4" t="s">
        <v>508</v>
      </c>
      <c r="B298" s="4" t="s">
        <v>53</v>
      </c>
      <c r="C298" s="5" t="s">
        <v>509</v>
      </c>
      <c r="D298" s="4" t="s">
        <v>16</v>
      </c>
      <c r="E298" s="6" t="s">
        <v>93</v>
      </c>
      <c r="F298" s="6"/>
      <c r="G298" s="4">
        <v>10512</v>
      </c>
      <c r="H298" s="4">
        <v>1197</v>
      </c>
      <c r="I298" s="6">
        <v>544</v>
      </c>
      <c r="J298" s="6">
        <v>2012</v>
      </c>
      <c r="K298" s="7">
        <v>10245</v>
      </c>
      <c r="L298" s="6">
        <v>140102</v>
      </c>
      <c r="M298" s="4" t="s">
        <v>19</v>
      </c>
      <c r="N298" s="6">
        <f t="shared" si="12"/>
        <v>8.7457709383163689</v>
      </c>
    </row>
    <row r="299" spans="1:14" x14ac:dyDescent="0.3">
      <c r="A299" s="4" t="s">
        <v>510</v>
      </c>
      <c r="B299" s="4" t="s">
        <v>14</v>
      </c>
      <c r="C299" s="5">
        <v>45924</v>
      </c>
      <c r="D299" s="4" t="s">
        <v>28</v>
      </c>
      <c r="E299" s="6" t="s">
        <v>55</v>
      </c>
      <c r="F299" s="6" t="s">
        <v>56</v>
      </c>
      <c r="G299" s="4">
        <v>3342</v>
      </c>
      <c r="H299" s="4">
        <v>787</v>
      </c>
      <c r="I299" s="6">
        <v>375</v>
      </c>
      <c r="J299" s="6">
        <v>907</v>
      </c>
      <c r="K299" s="7">
        <v>85823</v>
      </c>
      <c r="L299" s="6">
        <v>99189</v>
      </c>
      <c r="M299" s="4" t="s">
        <v>24</v>
      </c>
      <c r="N299" s="6">
        <f t="shared" si="12"/>
        <v>4.5408260996683101</v>
      </c>
    </row>
    <row r="300" spans="1:14" x14ac:dyDescent="0.3">
      <c r="A300" s="4" t="s">
        <v>511</v>
      </c>
      <c r="B300" s="4" t="s">
        <v>26</v>
      </c>
      <c r="C300" s="5">
        <v>45925</v>
      </c>
      <c r="D300" s="4" t="s">
        <v>43</v>
      </c>
      <c r="E300" s="6" t="s">
        <v>78</v>
      </c>
      <c r="F300" s="6" t="s">
        <v>40</v>
      </c>
      <c r="G300" s="4">
        <v>12568</v>
      </c>
      <c r="H300" s="4">
        <v>541</v>
      </c>
      <c r="I300" s="6">
        <v>273</v>
      </c>
      <c r="J300" s="6">
        <v>2767</v>
      </c>
      <c r="K300" s="7">
        <v>22331</v>
      </c>
      <c r="L300" s="6">
        <v>192747</v>
      </c>
      <c r="M300" s="4" t="s">
        <v>24</v>
      </c>
      <c r="N300" s="6">
        <f t="shared" si="12"/>
        <v>6.9427799135654515</v>
      </c>
    </row>
    <row r="301" spans="1:14" x14ac:dyDescent="0.3">
      <c r="A301" s="4" t="s">
        <v>512</v>
      </c>
      <c r="B301" s="4" t="s">
        <v>21</v>
      </c>
      <c r="C301" s="5">
        <v>45926</v>
      </c>
      <c r="D301" s="4" t="s">
        <v>34</v>
      </c>
      <c r="E301" s="6" t="s">
        <v>55</v>
      </c>
      <c r="F301" s="6" t="s">
        <v>56</v>
      </c>
      <c r="G301" s="4">
        <v>21216</v>
      </c>
      <c r="H301" s="4">
        <v>226</v>
      </c>
      <c r="I301" s="6">
        <v>187</v>
      </c>
      <c r="J301" s="6">
        <v>1573</v>
      </c>
      <c r="K301" s="7">
        <v>62688</v>
      </c>
      <c r="L301" s="6">
        <v>111031</v>
      </c>
      <c r="M301" s="4" t="s">
        <v>24</v>
      </c>
      <c r="N301" s="6">
        <f t="shared" si="12"/>
        <v>19.48014518467815</v>
      </c>
    </row>
    <row r="302" spans="1:14" x14ac:dyDescent="0.3">
      <c r="E302" s="9"/>
      <c r="F302" s="10"/>
      <c r="I302" s="10"/>
      <c r="N302" s="3"/>
    </row>
    <row r="303" spans="1:14" x14ac:dyDescent="0.3">
      <c r="E303" s="11"/>
      <c r="F303" s="8"/>
      <c r="I303" s="8"/>
      <c r="N303" s="8"/>
    </row>
    <row r="304" spans="1:14" x14ac:dyDescent="0.3">
      <c r="E304" s="11"/>
      <c r="F304" s="8"/>
      <c r="I304" s="8"/>
      <c r="N304" s="8"/>
    </row>
    <row r="305" spans="5:14" x14ac:dyDescent="0.3">
      <c r="E305" s="11"/>
      <c r="F305" s="8"/>
      <c r="I305" s="8"/>
      <c r="N305" s="8"/>
    </row>
    <row r="306" spans="5:14" x14ac:dyDescent="0.3">
      <c r="E306" s="11"/>
      <c r="F306" s="8"/>
      <c r="I306" s="8"/>
      <c r="N306" s="8"/>
    </row>
    <row r="307" spans="5:14" x14ac:dyDescent="0.3">
      <c r="E307" s="11"/>
      <c r="F307" s="8"/>
      <c r="I307" s="8"/>
      <c r="N307" s="8"/>
    </row>
    <row r="308" spans="5:14" x14ac:dyDescent="0.3">
      <c r="E308" s="11"/>
      <c r="F308" s="8"/>
      <c r="I308" s="8"/>
      <c r="N308" s="8"/>
    </row>
    <row r="309" spans="5:14" x14ac:dyDescent="0.3">
      <c r="E309" s="11"/>
      <c r="F309" s="8"/>
      <c r="I309" s="8"/>
      <c r="N309" s="8"/>
    </row>
    <row r="310" spans="5:14" x14ac:dyDescent="0.3">
      <c r="E310" s="11"/>
      <c r="F310" s="8"/>
      <c r="I310" s="8"/>
      <c r="N310" s="8"/>
    </row>
    <row r="311" spans="5:14" x14ac:dyDescent="0.3">
      <c r="E311" s="11"/>
      <c r="F311" s="8"/>
      <c r="I311" s="8"/>
      <c r="N311" s="8"/>
    </row>
    <row r="312" spans="5:14" x14ac:dyDescent="0.3">
      <c r="E312" s="11"/>
      <c r="F312" s="8"/>
      <c r="I312" s="8"/>
      <c r="N312" s="8"/>
    </row>
    <row r="313" spans="5:14" x14ac:dyDescent="0.3">
      <c r="E313" s="11"/>
      <c r="F313" s="8"/>
      <c r="I313" s="8"/>
      <c r="N313" s="8"/>
    </row>
    <row r="314" spans="5:14" x14ac:dyDescent="0.3">
      <c r="E314" s="11"/>
      <c r="F314" s="8"/>
      <c r="I314" s="8"/>
      <c r="N314" s="8"/>
    </row>
    <row r="315" spans="5:14" x14ac:dyDescent="0.3">
      <c r="E315" s="11"/>
      <c r="F315" s="8"/>
      <c r="I315" s="8"/>
      <c r="N315" s="8"/>
    </row>
    <row r="316" spans="5:14" x14ac:dyDescent="0.3">
      <c r="E316" s="11"/>
      <c r="F316" s="8"/>
      <c r="I316" s="8"/>
      <c r="N316" s="8"/>
    </row>
    <row r="317" spans="5:14" x14ac:dyDescent="0.3">
      <c r="E317" s="11"/>
      <c r="F317" s="8"/>
      <c r="I317" s="8"/>
      <c r="N317" s="8"/>
    </row>
    <row r="318" spans="5:14" x14ac:dyDescent="0.3">
      <c r="E318" s="11"/>
      <c r="F318" s="8"/>
      <c r="I318" s="8"/>
      <c r="N318" s="8"/>
    </row>
    <row r="319" spans="5:14" x14ac:dyDescent="0.3">
      <c r="E319" s="11"/>
      <c r="F319" s="8"/>
      <c r="I319" s="8"/>
      <c r="N319" s="8"/>
    </row>
    <row r="320" spans="5:14" x14ac:dyDescent="0.3">
      <c r="E320" s="11"/>
      <c r="F320" s="8"/>
      <c r="I320" s="8"/>
      <c r="N320" s="8"/>
    </row>
    <row r="321" spans="5:14" x14ac:dyDescent="0.3">
      <c r="E321" s="11"/>
      <c r="F321" s="8"/>
      <c r="I321" s="8"/>
      <c r="N321" s="8"/>
    </row>
    <row r="322" spans="5:14" x14ac:dyDescent="0.3">
      <c r="E322" s="11"/>
      <c r="F322" s="8"/>
      <c r="I322" s="8"/>
      <c r="N322" s="8"/>
    </row>
    <row r="323" spans="5:14" x14ac:dyDescent="0.3">
      <c r="E323" s="11"/>
      <c r="F323" s="8"/>
      <c r="I323" s="8"/>
      <c r="N323" s="8"/>
    </row>
    <row r="324" spans="5:14" x14ac:dyDescent="0.3">
      <c r="E324" s="11"/>
      <c r="F324" s="8"/>
      <c r="I324" s="8"/>
      <c r="N324" s="8"/>
    </row>
    <row r="325" spans="5:14" x14ac:dyDescent="0.3">
      <c r="E325" s="11"/>
      <c r="F325" s="8"/>
      <c r="I325" s="8"/>
      <c r="N325" s="8"/>
    </row>
    <row r="326" spans="5:14" x14ac:dyDescent="0.3">
      <c r="E326" s="11"/>
      <c r="F326" s="8"/>
      <c r="I326" s="8"/>
      <c r="N326" s="8"/>
    </row>
    <row r="327" spans="5:14" x14ac:dyDescent="0.3">
      <c r="E327" s="11"/>
      <c r="F327" s="8"/>
      <c r="I327" s="8"/>
      <c r="N327" s="8"/>
    </row>
    <row r="328" spans="5:14" x14ac:dyDescent="0.3">
      <c r="E328" s="11"/>
      <c r="F328" s="8"/>
      <c r="I328" s="8"/>
      <c r="N328" s="8"/>
    </row>
    <row r="329" spans="5:14" x14ac:dyDescent="0.3">
      <c r="E329" s="11"/>
      <c r="F329" s="8"/>
      <c r="I329" s="8"/>
      <c r="N329" s="8"/>
    </row>
    <row r="330" spans="5:14" x14ac:dyDescent="0.3">
      <c r="E330" s="11"/>
      <c r="F330" s="8"/>
      <c r="I330" s="8"/>
      <c r="N330" s="8"/>
    </row>
    <row r="331" spans="5:14" x14ac:dyDescent="0.3">
      <c r="E331" s="11"/>
      <c r="F331" s="8"/>
      <c r="I331" s="8"/>
      <c r="N331" s="8"/>
    </row>
    <row r="332" spans="5:14" x14ac:dyDescent="0.3">
      <c r="E332" s="11"/>
      <c r="F332" s="8"/>
      <c r="I332" s="8"/>
      <c r="N332" s="8"/>
    </row>
    <row r="333" spans="5:14" x14ac:dyDescent="0.3">
      <c r="E333" s="11"/>
      <c r="F333" s="8"/>
      <c r="I333" s="8"/>
      <c r="N333" s="8"/>
    </row>
    <row r="334" spans="5:14" x14ac:dyDescent="0.3">
      <c r="E334" s="11"/>
      <c r="F334" s="8"/>
      <c r="I334" s="8"/>
      <c r="N334" s="8"/>
    </row>
    <row r="335" spans="5:14" x14ac:dyDescent="0.3">
      <c r="E335" s="11"/>
      <c r="F335" s="8"/>
      <c r="I335" s="8"/>
      <c r="N335" s="8"/>
    </row>
    <row r="336" spans="5:14" x14ac:dyDescent="0.3">
      <c r="E336" s="11"/>
      <c r="F336" s="8"/>
      <c r="I336" s="8"/>
      <c r="N336" s="8"/>
    </row>
    <row r="337" spans="5:14" x14ac:dyDescent="0.3">
      <c r="E337" s="11"/>
      <c r="F337" s="8"/>
      <c r="I337" s="8"/>
      <c r="N337" s="8"/>
    </row>
    <row r="338" spans="5:14" x14ac:dyDescent="0.3">
      <c r="E338" s="11"/>
      <c r="F338" s="8"/>
      <c r="I338" s="8"/>
      <c r="N338" s="8"/>
    </row>
    <row r="339" spans="5:14" x14ac:dyDescent="0.3">
      <c r="E339" s="11"/>
      <c r="F339" s="8"/>
      <c r="I339" s="8"/>
      <c r="N339" s="8"/>
    </row>
    <row r="340" spans="5:14" x14ac:dyDescent="0.3">
      <c r="E340" s="11"/>
      <c r="F340" s="8"/>
      <c r="I340" s="8"/>
      <c r="N340" s="8"/>
    </row>
    <row r="341" spans="5:14" x14ac:dyDescent="0.3">
      <c r="E341" s="11"/>
      <c r="F341" s="8"/>
      <c r="I341" s="8"/>
      <c r="N341" s="8"/>
    </row>
    <row r="342" spans="5:14" x14ac:dyDescent="0.3">
      <c r="E342" s="11"/>
      <c r="F342" s="8"/>
      <c r="I342" s="8"/>
      <c r="N342" s="8"/>
    </row>
    <row r="343" spans="5:14" x14ac:dyDescent="0.3">
      <c r="E343" s="11"/>
      <c r="F343" s="8"/>
      <c r="I343" s="8"/>
      <c r="N343" s="8"/>
    </row>
    <row r="344" spans="5:14" x14ac:dyDescent="0.3">
      <c r="E344" s="11"/>
      <c r="F344" s="8"/>
      <c r="I344" s="8"/>
      <c r="N344" s="8"/>
    </row>
    <row r="345" spans="5:14" x14ac:dyDescent="0.3">
      <c r="E345" s="11"/>
      <c r="F345" s="8"/>
      <c r="I345" s="8"/>
      <c r="N345" s="8"/>
    </row>
    <row r="346" spans="5:14" x14ac:dyDescent="0.3">
      <c r="E346" s="11"/>
      <c r="F346" s="8"/>
      <c r="I346" s="8"/>
      <c r="N346" s="8"/>
    </row>
    <row r="347" spans="5:14" x14ac:dyDescent="0.3">
      <c r="E347" s="11"/>
      <c r="F347" s="8"/>
      <c r="I347" s="8"/>
      <c r="N347" s="8"/>
    </row>
    <row r="348" spans="5:14" x14ac:dyDescent="0.3">
      <c r="E348" s="11"/>
      <c r="F348" s="8"/>
      <c r="I348" s="8"/>
      <c r="N348" s="8"/>
    </row>
    <row r="349" spans="5:14" x14ac:dyDescent="0.3">
      <c r="E349" s="11"/>
      <c r="F349" s="8"/>
      <c r="I349" s="8"/>
      <c r="N349" s="8"/>
    </row>
    <row r="350" spans="5:14" x14ac:dyDescent="0.3">
      <c r="E350" s="11"/>
      <c r="F350" s="8"/>
      <c r="I350" s="8"/>
      <c r="N350" s="8"/>
    </row>
    <row r="351" spans="5:14" x14ac:dyDescent="0.3">
      <c r="E351" s="11"/>
      <c r="F351" s="8"/>
      <c r="I351" s="8"/>
      <c r="N351" s="8"/>
    </row>
    <row r="352" spans="5:14" x14ac:dyDescent="0.3">
      <c r="E352" s="11"/>
      <c r="F352" s="8"/>
      <c r="I352" s="8"/>
      <c r="N352" s="8"/>
    </row>
    <row r="353" spans="5:14" x14ac:dyDescent="0.3">
      <c r="E353" s="11"/>
      <c r="F353" s="8"/>
      <c r="I353" s="8"/>
      <c r="N353" s="8"/>
    </row>
    <row r="354" spans="5:14" x14ac:dyDescent="0.3">
      <c r="E354" s="11"/>
      <c r="F354" s="8"/>
      <c r="I354" s="8"/>
      <c r="N354" s="8"/>
    </row>
    <row r="355" spans="5:14" x14ac:dyDescent="0.3">
      <c r="E355" s="11"/>
      <c r="F355" s="8"/>
      <c r="I355" s="8"/>
      <c r="N355" s="8"/>
    </row>
    <row r="356" spans="5:14" x14ac:dyDescent="0.3">
      <c r="E356" s="11"/>
      <c r="F356" s="8"/>
      <c r="I356" s="8"/>
      <c r="N356" s="8"/>
    </row>
    <row r="357" spans="5:14" x14ac:dyDescent="0.3">
      <c r="E357" s="11"/>
      <c r="F357" s="8"/>
      <c r="I357" s="8"/>
      <c r="N357" s="8"/>
    </row>
    <row r="358" spans="5:14" x14ac:dyDescent="0.3">
      <c r="E358" s="11"/>
      <c r="F358" s="8"/>
      <c r="I358" s="8"/>
      <c r="N358" s="8"/>
    </row>
    <row r="359" spans="5:14" x14ac:dyDescent="0.3">
      <c r="E359" s="11"/>
      <c r="F359" s="8"/>
      <c r="I359" s="8"/>
      <c r="N359" s="8"/>
    </row>
    <row r="360" spans="5:14" x14ac:dyDescent="0.3">
      <c r="E360" s="11"/>
      <c r="F360" s="8"/>
      <c r="I360" s="8"/>
      <c r="N360" s="8"/>
    </row>
    <row r="361" spans="5:14" x14ac:dyDescent="0.3">
      <c r="E361" s="11"/>
      <c r="F361" s="8"/>
      <c r="I361" s="8"/>
      <c r="N361" s="8"/>
    </row>
    <row r="362" spans="5:14" x14ac:dyDescent="0.3">
      <c r="E362" s="11"/>
      <c r="F362" s="8"/>
      <c r="I362" s="8"/>
      <c r="N362" s="8"/>
    </row>
    <row r="363" spans="5:14" x14ac:dyDescent="0.3">
      <c r="E363" s="11"/>
      <c r="F363" s="8"/>
      <c r="I363" s="8"/>
      <c r="N363" s="8"/>
    </row>
    <row r="364" spans="5:14" x14ac:dyDescent="0.3">
      <c r="E364" s="11"/>
      <c r="F364" s="8"/>
      <c r="I364" s="8"/>
      <c r="N364" s="8"/>
    </row>
    <row r="365" spans="5:14" x14ac:dyDescent="0.3">
      <c r="E365" s="11"/>
      <c r="F365" s="8"/>
      <c r="I365" s="8"/>
      <c r="N365" s="8"/>
    </row>
    <row r="366" spans="5:14" x14ac:dyDescent="0.3">
      <c r="E366" s="11"/>
      <c r="F366" s="8"/>
      <c r="I366" s="8"/>
      <c r="N366" s="8"/>
    </row>
    <row r="367" spans="5:14" x14ac:dyDescent="0.3">
      <c r="E367" s="11"/>
      <c r="F367" s="8"/>
      <c r="I367" s="8"/>
      <c r="N367" s="8"/>
    </row>
    <row r="368" spans="5:14" x14ac:dyDescent="0.3">
      <c r="E368" s="11"/>
      <c r="F368" s="8"/>
      <c r="I368" s="8"/>
      <c r="N368" s="8"/>
    </row>
    <row r="369" spans="5:14" x14ac:dyDescent="0.3">
      <c r="E369" s="11"/>
      <c r="F369" s="8"/>
      <c r="I369" s="8"/>
      <c r="N369" s="8"/>
    </row>
    <row r="370" spans="5:14" x14ac:dyDescent="0.3">
      <c r="E370" s="11"/>
      <c r="F370" s="8"/>
      <c r="I370" s="8"/>
      <c r="N370" s="8"/>
    </row>
    <row r="371" spans="5:14" x14ac:dyDescent="0.3">
      <c r="E371" s="11"/>
      <c r="F371" s="8"/>
      <c r="I371" s="8"/>
      <c r="N371" s="8"/>
    </row>
    <row r="372" spans="5:14" x14ac:dyDescent="0.3">
      <c r="E372" s="11"/>
      <c r="F372" s="8"/>
      <c r="I372" s="8"/>
      <c r="N372" s="8"/>
    </row>
    <row r="373" spans="5:14" x14ac:dyDescent="0.3">
      <c r="E373" s="11"/>
      <c r="F373" s="8"/>
      <c r="I373" s="8"/>
      <c r="N373" s="8"/>
    </row>
    <row r="374" spans="5:14" x14ac:dyDescent="0.3">
      <c r="E374" s="11"/>
      <c r="F374" s="8"/>
      <c r="I374" s="8"/>
      <c r="N374" s="8"/>
    </row>
    <row r="375" spans="5:14" x14ac:dyDescent="0.3">
      <c r="E375" s="11"/>
      <c r="F375" s="8"/>
      <c r="I375" s="8"/>
      <c r="N375" s="8"/>
    </row>
    <row r="376" spans="5:14" x14ac:dyDescent="0.3">
      <c r="E376" s="11"/>
      <c r="F376" s="8"/>
      <c r="I376" s="8"/>
      <c r="N376" s="8"/>
    </row>
    <row r="377" spans="5:14" x14ac:dyDescent="0.3">
      <c r="E377" s="11"/>
      <c r="F377" s="8"/>
      <c r="I377" s="8"/>
      <c r="N377" s="8"/>
    </row>
    <row r="378" spans="5:14" x14ac:dyDescent="0.3">
      <c r="E378" s="11"/>
      <c r="F378" s="8"/>
      <c r="I378" s="8"/>
      <c r="N378" s="8"/>
    </row>
    <row r="379" spans="5:14" x14ac:dyDescent="0.3">
      <c r="E379" s="11"/>
      <c r="F379" s="8"/>
      <c r="I379" s="8"/>
      <c r="N379" s="8"/>
    </row>
    <row r="380" spans="5:14" x14ac:dyDescent="0.3">
      <c r="E380" s="11"/>
      <c r="F380" s="8"/>
      <c r="I380" s="8"/>
      <c r="N380" s="8"/>
    </row>
    <row r="381" spans="5:14" x14ac:dyDescent="0.3">
      <c r="E381" s="11"/>
      <c r="F381" s="8"/>
      <c r="I381" s="8"/>
      <c r="N381" s="8"/>
    </row>
    <row r="382" spans="5:14" x14ac:dyDescent="0.3">
      <c r="E382" s="11"/>
      <c r="F382" s="8"/>
      <c r="I382" s="8"/>
      <c r="N382" s="8"/>
    </row>
    <row r="383" spans="5:14" x14ac:dyDescent="0.3">
      <c r="E383" s="11"/>
      <c r="F383" s="8"/>
      <c r="I383" s="8"/>
      <c r="N383" s="8"/>
    </row>
    <row r="384" spans="5:14" x14ac:dyDescent="0.3">
      <c r="E384" s="11"/>
      <c r="F384" s="8"/>
      <c r="I384" s="8"/>
      <c r="N384" s="8"/>
    </row>
    <row r="385" spans="5:14" x14ac:dyDescent="0.3">
      <c r="E385" s="11"/>
      <c r="F385" s="8"/>
      <c r="I385" s="8"/>
      <c r="N385" s="8"/>
    </row>
    <row r="386" spans="5:14" x14ac:dyDescent="0.3">
      <c r="E386" s="11"/>
      <c r="F386" s="8"/>
      <c r="I386" s="8"/>
      <c r="N386" s="8"/>
    </row>
    <row r="387" spans="5:14" x14ac:dyDescent="0.3">
      <c r="E387" s="11"/>
      <c r="F387" s="8"/>
      <c r="I387" s="8"/>
      <c r="N387" s="8"/>
    </row>
    <row r="388" spans="5:14" x14ac:dyDescent="0.3">
      <c r="E388" s="11"/>
      <c r="F388" s="8"/>
      <c r="I388" s="8"/>
      <c r="N388" s="8"/>
    </row>
    <row r="389" spans="5:14" x14ac:dyDescent="0.3">
      <c r="E389" s="11"/>
      <c r="F389" s="8"/>
      <c r="I389" s="8"/>
      <c r="N389" s="8"/>
    </row>
    <row r="390" spans="5:14" x14ac:dyDescent="0.3">
      <c r="E390" s="11"/>
      <c r="F390" s="8"/>
      <c r="I390" s="8"/>
      <c r="N390" s="8"/>
    </row>
    <row r="391" spans="5:14" x14ac:dyDescent="0.3">
      <c r="E391" s="11"/>
      <c r="F391" s="8"/>
      <c r="I391" s="8"/>
      <c r="N391" s="8"/>
    </row>
    <row r="392" spans="5:14" x14ac:dyDescent="0.3">
      <c r="E392" s="11"/>
      <c r="F392" s="8"/>
      <c r="I392" s="8"/>
      <c r="N392" s="8"/>
    </row>
    <row r="393" spans="5:14" x14ac:dyDescent="0.3">
      <c r="E393" s="11"/>
      <c r="F393" s="8"/>
      <c r="I393" s="8"/>
      <c r="N393" s="8"/>
    </row>
    <row r="394" spans="5:14" x14ac:dyDescent="0.3">
      <c r="E394" s="11"/>
      <c r="F394" s="8"/>
      <c r="I394" s="8"/>
      <c r="N394" s="8"/>
    </row>
    <row r="395" spans="5:14" x14ac:dyDescent="0.3">
      <c r="E395" s="11"/>
      <c r="F395" s="8"/>
      <c r="I395" s="8"/>
      <c r="N395" s="8"/>
    </row>
    <row r="396" spans="5:14" x14ac:dyDescent="0.3">
      <c r="E396" s="11"/>
      <c r="F396" s="8"/>
      <c r="I396" s="8"/>
      <c r="N396" s="8"/>
    </row>
    <row r="397" spans="5:14" x14ac:dyDescent="0.3">
      <c r="E397" s="11"/>
      <c r="F397" s="8"/>
      <c r="I397" s="8"/>
      <c r="N397" s="8"/>
    </row>
    <row r="398" spans="5:14" x14ac:dyDescent="0.3">
      <c r="E398" s="11"/>
      <c r="F398" s="8"/>
      <c r="I398" s="8"/>
      <c r="N398" s="8"/>
    </row>
    <row r="399" spans="5:14" x14ac:dyDescent="0.3">
      <c r="E399" s="11"/>
      <c r="F399" s="8"/>
      <c r="I399" s="8"/>
      <c r="N399" s="8"/>
    </row>
    <row r="400" spans="5:14" x14ac:dyDescent="0.3">
      <c r="E400" s="11"/>
      <c r="F400" s="8"/>
      <c r="I400" s="8"/>
      <c r="N400" s="8"/>
    </row>
    <row r="401" spans="5:14" x14ac:dyDescent="0.3">
      <c r="E401" s="11"/>
      <c r="F401" s="8"/>
      <c r="I401" s="8"/>
      <c r="N401" s="8"/>
    </row>
    <row r="402" spans="5:14" x14ac:dyDescent="0.3">
      <c r="E402" s="11"/>
      <c r="F402" s="8"/>
      <c r="I402" s="8"/>
      <c r="N402" s="8"/>
    </row>
    <row r="403" spans="5:14" x14ac:dyDescent="0.3">
      <c r="E403" s="11"/>
      <c r="F403" s="8"/>
      <c r="I403" s="8"/>
      <c r="N403" s="8"/>
    </row>
    <row r="404" spans="5:14" x14ac:dyDescent="0.3">
      <c r="E404" s="11"/>
      <c r="F404" s="8"/>
      <c r="I404" s="8"/>
      <c r="N404" s="8"/>
    </row>
    <row r="405" spans="5:14" x14ac:dyDescent="0.3">
      <c r="E405" s="11"/>
      <c r="F405" s="8"/>
      <c r="I405" s="8"/>
      <c r="N405" s="8"/>
    </row>
    <row r="406" spans="5:14" x14ac:dyDescent="0.3">
      <c r="E406" s="11"/>
      <c r="F406" s="8"/>
      <c r="I406" s="8"/>
      <c r="N406" s="8"/>
    </row>
    <row r="407" spans="5:14" x14ac:dyDescent="0.3">
      <c r="E407" s="11"/>
      <c r="F407" s="8"/>
      <c r="I407" s="8"/>
      <c r="N407" s="8"/>
    </row>
    <row r="408" spans="5:14" x14ac:dyDescent="0.3">
      <c r="E408" s="11"/>
      <c r="F408" s="8"/>
      <c r="I408" s="8"/>
      <c r="N408" s="8"/>
    </row>
    <row r="409" spans="5:14" x14ac:dyDescent="0.3">
      <c r="E409" s="11"/>
      <c r="F409" s="8"/>
      <c r="I409" s="8"/>
      <c r="N409" s="8"/>
    </row>
    <row r="410" spans="5:14" x14ac:dyDescent="0.3">
      <c r="E410" s="11"/>
      <c r="F410" s="8"/>
      <c r="I410" s="8"/>
      <c r="N410" s="8"/>
    </row>
    <row r="411" spans="5:14" x14ac:dyDescent="0.3">
      <c r="E411" s="11"/>
      <c r="F411" s="8"/>
      <c r="I411" s="8"/>
      <c r="N411" s="8"/>
    </row>
    <row r="412" spans="5:14" x14ac:dyDescent="0.3">
      <c r="E412" s="11"/>
      <c r="F412" s="8"/>
      <c r="I412" s="8"/>
      <c r="N412" s="8"/>
    </row>
    <row r="413" spans="5:14" x14ac:dyDescent="0.3">
      <c r="E413" s="11"/>
      <c r="F413" s="8"/>
      <c r="I413" s="8"/>
      <c r="N413" s="8"/>
    </row>
    <row r="414" spans="5:14" x14ac:dyDescent="0.3">
      <c r="E414" s="11"/>
      <c r="F414" s="8"/>
      <c r="I414" s="8"/>
      <c r="N414" s="8"/>
    </row>
    <row r="415" spans="5:14" x14ac:dyDescent="0.3">
      <c r="E415" s="11"/>
      <c r="F415" s="8"/>
      <c r="I415" s="8"/>
      <c r="N415" s="8"/>
    </row>
    <row r="416" spans="5:14" x14ac:dyDescent="0.3">
      <c r="E416" s="11"/>
      <c r="F416" s="8"/>
      <c r="I416" s="8"/>
      <c r="N416" s="8"/>
    </row>
    <row r="417" spans="5:14" x14ac:dyDescent="0.3">
      <c r="E417" s="11"/>
      <c r="F417" s="8"/>
      <c r="I417" s="8"/>
      <c r="N417" s="8"/>
    </row>
    <row r="418" spans="5:14" x14ac:dyDescent="0.3">
      <c r="E418" s="11"/>
      <c r="F418" s="8"/>
      <c r="I418" s="8"/>
      <c r="N418" s="8"/>
    </row>
    <row r="419" spans="5:14" x14ac:dyDescent="0.3">
      <c r="E419" s="11"/>
      <c r="F419" s="8"/>
      <c r="I419" s="8"/>
      <c r="N419" s="8"/>
    </row>
    <row r="420" spans="5:14" x14ac:dyDescent="0.3">
      <c r="E420" s="11"/>
      <c r="F420" s="8"/>
      <c r="I420" s="8"/>
      <c r="N420" s="8"/>
    </row>
    <row r="421" spans="5:14" x14ac:dyDescent="0.3">
      <c r="E421" s="11"/>
      <c r="F421" s="8"/>
      <c r="I421" s="8"/>
      <c r="N421" s="8"/>
    </row>
    <row r="422" spans="5:14" x14ac:dyDescent="0.3">
      <c r="E422" s="11"/>
      <c r="F422" s="8"/>
      <c r="I422" s="8"/>
      <c r="N422" s="8"/>
    </row>
    <row r="423" spans="5:14" x14ac:dyDescent="0.3">
      <c r="E423" s="11"/>
      <c r="F423" s="8"/>
      <c r="I423" s="8"/>
      <c r="N423" s="8"/>
    </row>
    <row r="424" spans="5:14" x14ac:dyDescent="0.3">
      <c r="E424" s="11"/>
      <c r="F424" s="8"/>
      <c r="I424" s="8"/>
      <c r="N424" s="8"/>
    </row>
    <row r="425" spans="5:14" x14ac:dyDescent="0.3">
      <c r="E425" s="11"/>
      <c r="F425" s="8"/>
      <c r="I425" s="8"/>
      <c r="N425" s="8"/>
    </row>
    <row r="426" spans="5:14" x14ac:dyDescent="0.3">
      <c r="E426" s="11"/>
      <c r="F426" s="8"/>
      <c r="I426" s="8"/>
      <c r="N426" s="8"/>
    </row>
    <row r="427" spans="5:14" x14ac:dyDescent="0.3">
      <c r="E427" s="11"/>
      <c r="F427" s="8"/>
      <c r="I427" s="8"/>
      <c r="N427" s="8"/>
    </row>
    <row r="428" spans="5:14" x14ac:dyDescent="0.3">
      <c r="E428" s="11"/>
      <c r="F428" s="8"/>
      <c r="I428" s="8"/>
      <c r="N428" s="8"/>
    </row>
    <row r="429" spans="5:14" x14ac:dyDescent="0.3">
      <c r="E429" s="11"/>
      <c r="F429" s="8"/>
      <c r="I429" s="8"/>
      <c r="N429" s="8"/>
    </row>
    <row r="430" spans="5:14" x14ac:dyDescent="0.3">
      <c r="E430" s="11"/>
      <c r="F430" s="8"/>
      <c r="I430" s="8"/>
      <c r="N430" s="8"/>
    </row>
    <row r="431" spans="5:14" x14ac:dyDescent="0.3">
      <c r="E431" s="11"/>
      <c r="F431" s="8"/>
      <c r="I431" s="8"/>
      <c r="N431" s="8"/>
    </row>
    <row r="432" spans="5:14" x14ac:dyDescent="0.3">
      <c r="E432" s="11"/>
      <c r="F432" s="8"/>
      <c r="I432" s="8"/>
      <c r="N432" s="8"/>
    </row>
    <row r="433" spans="5:14" x14ac:dyDescent="0.3">
      <c r="E433" s="11"/>
      <c r="F433" s="8"/>
      <c r="I433" s="8"/>
      <c r="N433" s="8"/>
    </row>
    <row r="434" spans="5:14" x14ac:dyDescent="0.3">
      <c r="E434" s="11"/>
      <c r="F434" s="8"/>
      <c r="I434" s="8"/>
      <c r="N434" s="8"/>
    </row>
    <row r="435" spans="5:14" x14ac:dyDescent="0.3">
      <c r="E435" s="11"/>
      <c r="F435" s="8"/>
      <c r="I435" s="8"/>
      <c r="N435" s="8"/>
    </row>
    <row r="436" spans="5:14" x14ac:dyDescent="0.3">
      <c r="E436" s="11"/>
      <c r="F436" s="8"/>
      <c r="I436" s="8"/>
      <c r="N436" s="8"/>
    </row>
    <row r="437" spans="5:14" x14ac:dyDescent="0.3">
      <c r="E437" s="11"/>
      <c r="F437" s="8"/>
      <c r="I437" s="8"/>
      <c r="N437" s="8"/>
    </row>
    <row r="438" spans="5:14" x14ac:dyDescent="0.3">
      <c r="E438" s="11"/>
      <c r="F438" s="8"/>
      <c r="I438" s="8"/>
      <c r="N438" s="8"/>
    </row>
    <row r="439" spans="5:14" x14ac:dyDescent="0.3">
      <c r="E439" s="11"/>
      <c r="F439" s="8"/>
      <c r="I439" s="8"/>
      <c r="N439" s="8"/>
    </row>
    <row r="440" spans="5:14" x14ac:dyDescent="0.3">
      <c r="E440" s="11"/>
      <c r="F440" s="8"/>
      <c r="I440" s="8"/>
      <c r="N440" s="8"/>
    </row>
    <row r="441" spans="5:14" x14ac:dyDescent="0.3">
      <c r="E441" s="11"/>
      <c r="F441" s="8"/>
      <c r="I441" s="8"/>
      <c r="N441" s="8"/>
    </row>
    <row r="442" spans="5:14" x14ac:dyDescent="0.3">
      <c r="E442" s="11"/>
      <c r="F442" s="8"/>
      <c r="I442" s="8"/>
      <c r="N442" s="8"/>
    </row>
    <row r="443" spans="5:14" x14ac:dyDescent="0.3">
      <c r="E443" s="11"/>
      <c r="F443" s="8"/>
      <c r="I443" s="8"/>
      <c r="N443" s="8"/>
    </row>
    <row r="444" spans="5:14" x14ac:dyDescent="0.3">
      <c r="E444" s="11"/>
      <c r="F444" s="8"/>
      <c r="I444" s="8"/>
      <c r="N444" s="8"/>
    </row>
    <row r="445" spans="5:14" x14ac:dyDescent="0.3">
      <c r="E445" s="11"/>
      <c r="F445" s="8"/>
      <c r="I445" s="8"/>
      <c r="N445" s="8"/>
    </row>
    <row r="446" spans="5:14" x14ac:dyDescent="0.3">
      <c r="E446" s="11"/>
      <c r="F446" s="8"/>
      <c r="I446" s="8"/>
      <c r="N446" s="8"/>
    </row>
    <row r="447" spans="5:14" x14ac:dyDescent="0.3">
      <c r="E447" s="11"/>
      <c r="F447" s="8"/>
      <c r="I447" s="8"/>
      <c r="N447" s="8"/>
    </row>
    <row r="448" spans="5:14" x14ac:dyDescent="0.3">
      <c r="E448" s="11"/>
      <c r="F448" s="8"/>
      <c r="I448" s="8"/>
      <c r="N448" s="8"/>
    </row>
    <row r="449" spans="5:14" x14ac:dyDescent="0.3">
      <c r="E449" s="11"/>
      <c r="F449" s="8"/>
      <c r="I449" s="8"/>
      <c r="N449" s="8"/>
    </row>
    <row r="450" spans="5:14" x14ac:dyDescent="0.3">
      <c r="E450" s="11"/>
      <c r="F450" s="8"/>
      <c r="I450" s="8"/>
      <c r="N450" s="8"/>
    </row>
    <row r="451" spans="5:14" x14ac:dyDescent="0.3">
      <c r="E451" s="11"/>
      <c r="F451" s="8"/>
      <c r="I451" s="8"/>
      <c r="N451" s="8"/>
    </row>
    <row r="452" spans="5:14" x14ac:dyDescent="0.3">
      <c r="E452" s="11"/>
      <c r="F452" s="8"/>
      <c r="I452" s="8"/>
      <c r="N452" s="8"/>
    </row>
    <row r="453" spans="5:14" x14ac:dyDescent="0.3">
      <c r="E453" s="11"/>
      <c r="F453" s="8"/>
      <c r="I453" s="8"/>
      <c r="N453" s="8"/>
    </row>
    <row r="454" spans="5:14" x14ac:dyDescent="0.3">
      <c r="E454" s="11"/>
      <c r="F454" s="8"/>
      <c r="I454" s="8"/>
      <c r="N454" s="8"/>
    </row>
    <row r="455" spans="5:14" x14ac:dyDescent="0.3">
      <c r="E455" s="11"/>
      <c r="F455" s="8"/>
      <c r="I455" s="8"/>
      <c r="N455" s="8"/>
    </row>
    <row r="456" spans="5:14" x14ac:dyDescent="0.3">
      <c r="E456" s="11"/>
      <c r="F456" s="8"/>
      <c r="I456" s="8"/>
      <c r="N456" s="8"/>
    </row>
    <row r="457" spans="5:14" x14ac:dyDescent="0.3">
      <c r="E457" s="11"/>
      <c r="F457" s="8"/>
      <c r="I457" s="8"/>
      <c r="N457" s="8"/>
    </row>
    <row r="458" spans="5:14" x14ac:dyDescent="0.3">
      <c r="E458" s="11"/>
      <c r="F458" s="8"/>
      <c r="I458" s="8"/>
      <c r="N458" s="8"/>
    </row>
    <row r="459" spans="5:14" x14ac:dyDescent="0.3">
      <c r="E459" s="11"/>
      <c r="F459" s="8"/>
      <c r="I459" s="8"/>
      <c r="N459" s="8"/>
    </row>
    <row r="460" spans="5:14" x14ac:dyDescent="0.3">
      <c r="E460" s="11"/>
      <c r="F460" s="8"/>
      <c r="I460" s="8"/>
      <c r="N460" s="8"/>
    </row>
    <row r="461" spans="5:14" x14ac:dyDescent="0.3">
      <c r="E461" s="11"/>
      <c r="F461" s="8"/>
      <c r="I461" s="8"/>
      <c r="N461" s="8"/>
    </row>
    <row r="462" spans="5:14" x14ac:dyDescent="0.3">
      <c r="E462" s="11"/>
      <c r="F462" s="8"/>
      <c r="I462" s="8"/>
      <c r="N462" s="8"/>
    </row>
    <row r="463" spans="5:14" x14ac:dyDescent="0.3">
      <c r="E463" s="11"/>
      <c r="F463" s="8"/>
      <c r="I463" s="8"/>
      <c r="N463" s="8"/>
    </row>
    <row r="464" spans="5:14" x14ac:dyDescent="0.3">
      <c r="E464" s="11"/>
      <c r="F464" s="8"/>
      <c r="I464" s="8"/>
      <c r="N464" s="8"/>
    </row>
    <row r="465" spans="5:14" x14ac:dyDescent="0.3">
      <c r="E465" s="11"/>
      <c r="F465" s="8"/>
      <c r="I465" s="8"/>
      <c r="N465" s="8"/>
    </row>
    <row r="466" spans="5:14" x14ac:dyDescent="0.3">
      <c r="E466" s="11"/>
      <c r="F466" s="8"/>
      <c r="I466" s="8"/>
      <c r="N466" s="8"/>
    </row>
    <row r="467" spans="5:14" x14ac:dyDescent="0.3">
      <c r="E467" s="11"/>
      <c r="F467" s="8"/>
      <c r="I467" s="8"/>
      <c r="N467" s="8"/>
    </row>
    <row r="468" spans="5:14" x14ac:dyDescent="0.3">
      <c r="E468" s="11"/>
      <c r="F468" s="8"/>
      <c r="I468" s="8"/>
      <c r="N468" s="8"/>
    </row>
    <row r="469" spans="5:14" x14ac:dyDescent="0.3">
      <c r="E469" s="11"/>
      <c r="F469" s="8"/>
      <c r="I469" s="8"/>
      <c r="N469" s="8"/>
    </row>
    <row r="470" spans="5:14" x14ac:dyDescent="0.3">
      <c r="E470" s="11"/>
      <c r="F470" s="8"/>
      <c r="I470" s="8"/>
      <c r="N470" s="8"/>
    </row>
    <row r="471" spans="5:14" x14ac:dyDescent="0.3">
      <c r="E471" s="11"/>
      <c r="F471" s="8"/>
      <c r="I471" s="8"/>
      <c r="N471" s="8"/>
    </row>
    <row r="472" spans="5:14" x14ac:dyDescent="0.3">
      <c r="E472" s="11"/>
      <c r="F472" s="8"/>
      <c r="I472" s="8"/>
      <c r="N472" s="8"/>
    </row>
    <row r="473" spans="5:14" x14ac:dyDescent="0.3">
      <c r="E473" s="11"/>
      <c r="F473" s="8"/>
      <c r="I473" s="8"/>
      <c r="N473" s="8"/>
    </row>
    <row r="474" spans="5:14" x14ac:dyDescent="0.3">
      <c r="E474" s="11"/>
      <c r="F474" s="8"/>
      <c r="I474" s="8"/>
      <c r="N474" s="8"/>
    </row>
    <row r="475" spans="5:14" x14ac:dyDescent="0.3">
      <c r="E475" s="11"/>
      <c r="F475" s="8"/>
      <c r="I475" s="8"/>
      <c r="N475" s="8"/>
    </row>
    <row r="476" spans="5:14" x14ac:dyDescent="0.3">
      <c r="E476" s="11"/>
      <c r="F476" s="8"/>
      <c r="I476" s="8"/>
      <c r="N476" s="8"/>
    </row>
    <row r="477" spans="5:14" x14ac:dyDescent="0.3">
      <c r="E477" s="11"/>
      <c r="F477" s="8"/>
      <c r="I477" s="8"/>
      <c r="N477" s="8"/>
    </row>
    <row r="478" spans="5:14" x14ac:dyDescent="0.3">
      <c r="E478" s="11"/>
      <c r="F478" s="8"/>
      <c r="I478" s="8"/>
      <c r="N478" s="8"/>
    </row>
    <row r="479" spans="5:14" x14ac:dyDescent="0.3">
      <c r="E479" s="11"/>
      <c r="F479" s="8"/>
      <c r="I479" s="8"/>
      <c r="N479" s="8"/>
    </row>
    <row r="480" spans="5:14" x14ac:dyDescent="0.3">
      <c r="E480" s="11"/>
      <c r="F480" s="8"/>
      <c r="I480" s="8"/>
      <c r="N480" s="8"/>
    </row>
    <row r="481" spans="5:14" x14ac:dyDescent="0.3">
      <c r="E481" s="11"/>
      <c r="F481" s="8"/>
      <c r="I481" s="8"/>
      <c r="N481" s="8"/>
    </row>
    <row r="482" spans="5:14" x14ac:dyDescent="0.3">
      <c r="E482" s="11"/>
      <c r="F482" s="8"/>
      <c r="I482" s="8"/>
      <c r="N482" s="8"/>
    </row>
    <row r="483" spans="5:14" x14ac:dyDescent="0.3">
      <c r="E483" s="11"/>
      <c r="F483" s="8"/>
      <c r="I483" s="8"/>
      <c r="N483" s="8"/>
    </row>
    <row r="484" spans="5:14" x14ac:dyDescent="0.3">
      <c r="E484" s="11"/>
      <c r="F484" s="8"/>
      <c r="I484" s="8"/>
      <c r="N484" s="8"/>
    </row>
    <row r="485" spans="5:14" x14ac:dyDescent="0.3">
      <c r="E485" s="11"/>
      <c r="F485" s="8"/>
      <c r="I485" s="8"/>
      <c r="N485" s="8"/>
    </row>
    <row r="486" spans="5:14" x14ac:dyDescent="0.3">
      <c r="E486" s="11"/>
      <c r="F486" s="8"/>
      <c r="I486" s="8"/>
      <c r="N486" s="8"/>
    </row>
    <row r="487" spans="5:14" x14ac:dyDescent="0.3">
      <c r="E487" s="11"/>
      <c r="F487" s="8"/>
      <c r="I487" s="8"/>
      <c r="N487" s="8"/>
    </row>
    <row r="488" spans="5:14" x14ac:dyDescent="0.3">
      <c r="E488" s="11"/>
      <c r="F488" s="8"/>
      <c r="I488" s="8"/>
      <c r="N488" s="8"/>
    </row>
    <row r="489" spans="5:14" x14ac:dyDescent="0.3">
      <c r="E489" s="11"/>
      <c r="F489" s="8"/>
      <c r="I489" s="8"/>
      <c r="N489" s="8"/>
    </row>
    <row r="490" spans="5:14" x14ac:dyDescent="0.3">
      <c r="E490" s="11"/>
      <c r="F490" s="8"/>
      <c r="I490" s="8"/>
      <c r="N490" s="8"/>
    </row>
    <row r="491" spans="5:14" x14ac:dyDescent="0.3">
      <c r="E491" s="11"/>
      <c r="F491" s="8"/>
      <c r="I491" s="8"/>
      <c r="N491" s="8"/>
    </row>
    <row r="492" spans="5:14" x14ac:dyDescent="0.3">
      <c r="E492" s="11"/>
      <c r="F492" s="8"/>
      <c r="I492" s="8"/>
      <c r="N492" s="8"/>
    </row>
    <row r="493" spans="5:14" x14ac:dyDescent="0.3">
      <c r="E493" s="11"/>
      <c r="F493" s="8"/>
      <c r="I493" s="8"/>
      <c r="N493" s="8"/>
    </row>
    <row r="494" spans="5:14" x14ac:dyDescent="0.3">
      <c r="E494" s="11"/>
      <c r="F494" s="8"/>
      <c r="I494" s="8"/>
      <c r="N494" s="8"/>
    </row>
    <row r="495" spans="5:14" x14ac:dyDescent="0.3">
      <c r="E495" s="11"/>
      <c r="F495" s="8"/>
      <c r="I495" s="8"/>
      <c r="N495" s="8"/>
    </row>
    <row r="496" spans="5:14" x14ac:dyDescent="0.3">
      <c r="E496" s="11"/>
      <c r="F496" s="8"/>
      <c r="I496" s="8"/>
      <c r="N496" s="8"/>
    </row>
    <row r="497" spans="5:14" x14ac:dyDescent="0.3">
      <c r="E497" s="11"/>
      <c r="F497" s="8"/>
      <c r="I497" s="8"/>
      <c r="N497" s="8"/>
    </row>
    <row r="498" spans="5:14" x14ac:dyDescent="0.3">
      <c r="E498" s="11"/>
      <c r="F498" s="8"/>
      <c r="I498" s="8"/>
      <c r="N498" s="8"/>
    </row>
    <row r="499" spans="5:14" x14ac:dyDescent="0.3">
      <c r="E499" s="11"/>
      <c r="F499" s="8"/>
      <c r="I499" s="8"/>
      <c r="N499" s="8"/>
    </row>
    <row r="500" spans="5:14" x14ac:dyDescent="0.3">
      <c r="E500" s="11"/>
      <c r="F500" s="8"/>
      <c r="I500" s="8"/>
      <c r="N500" s="8"/>
    </row>
    <row r="501" spans="5:14" x14ac:dyDescent="0.3">
      <c r="E501" s="11"/>
      <c r="F501" s="8"/>
      <c r="I501" s="8"/>
      <c r="N501" s="8"/>
    </row>
    <row r="502" spans="5:14" x14ac:dyDescent="0.3">
      <c r="E502" s="11"/>
      <c r="F502" s="8"/>
      <c r="I502" s="8"/>
      <c r="N502" s="8"/>
    </row>
    <row r="503" spans="5:14" x14ac:dyDescent="0.3">
      <c r="E503" s="11"/>
      <c r="F503" s="8"/>
      <c r="I503" s="8"/>
      <c r="N503" s="8"/>
    </row>
    <row r="504" spans="5:14" x14ac:dyDescent="0.3">
      <c r="E504" s="11"/>
      <c r="F504" s="8"/>
      <c r="I504" s="8"/>
      <c r="N504" s="8"/>
    </row>
    <row r="505" spans="5:14" x14ac:dyDescent="0.3">
      <c r="E505" s="11"/>
      <c r="F505" s="8"/>
      <c r="I505" s="8"/>
      <c r="N505" s="8"/>
    </row>
    <row r="506" spans="5:14" x14ac:dyDescent="0.3">
      <c r="E506" s="11"/>
      <c r="F506" s="8"/>
      <c r="I506" s="8"/>
      <c r="N506" s="8"/>
    </row>
    <row r="507" spans="5:14" x14ac:dyDescent="0.3">
      <c r="E507" s="11"/>
      <c r="F507" s="8"/>
      <c r="I507" s="8"/>
      <c r="N507" s="8"/>
    </row>
    <row r="508" spans="5:14" x14ac:dyDescent="0.3">
      <c r="E508" s="11"/>
      <c r="F508" s="8"/>
      <c r="I508" s="8"/>
      <c r="N508" s="8"/>
    </row>
    <row r="509" spans="5:14" x14ac:dyDescent="0.3">
      <c r="E509" s="11"/>
      <c r="F509" s="8"/>
      <c r="I509" s="8"/>
      <c r="N509" s="8"/>
    </row>
    <row r="510" spans="5:14" x14ac:dyDescent="0.3">
      <c r="E510" s="11"/>
      <c r="F510" s="8"/>
      <c r="I510" s="8"/>
      <c r="N510" s="8"/>
    </row>
    <row r="511" spans="5:14" x14ac:dyDescent="0.3">
      <c r="E511" s="11"/>
      <c r="F511" s="8"/>
      <c r="I511" s="8"/>
      <c r="N511" s="8"/>
    </row>
    <row r="512" spans="5:14" x14ac:dyDescent="0.3">
      <c r="E512" s="11"/>
      <c r="F512" s="8"/>
      <c r="I512" s="8"/>
      <c r="N512" s="8"/>
    </row>
    <row r="513" spans="5:14" x14ac:dyDescent="0.3">
      <c r="E513" s="11"/>
      <c r="F513" s="8"/>
      <c r="I513" s="8"/>
      <c r="N513" s="8"/>
    </row>
    <row r="514" spans="5:14" x14ac:dyDescent="0.3">
      <c r="E514" s="11"/>
      <c r="F514" s="8"/>
      <c r="I514" s="8"/>
      <c r="N514" s="8"/>
    </row>
    <row r="515" spans="5:14" x14ac:dyDescent="0.3">
      <c r="E515" s="11"/>
      <c r="F515" s="8"/>
      <c r="I515" s="8"/>
      <c r="N515" s="8"/>
    </row>
    <row r="516" spans="5:14" x14ac:dyDescent="0.3">
      <c r="E516" s="11"/>
      <c r="F516" s="8"/>
      <c r="I516" s="8"/>
      <c r="N516" s="8"/>
    </row>
    <row r="517" spans="5:14" x14ac:dyDescent="0.3">
      <c r="E517" s="11"/>
      <c r="F517" s="8"/>
      <c r="I517" s="8"/>
      <c r="N517" s="8"/>
    </row>
    <row r="518" spans="5:14" x14ac:dyDescent="0.3">
      <c r="E518" s="11"/>
      <c r="F518" s="8"/>
      <c r="I518" s="8"/>
      <c r="N518" s="8"/>
    </row>
    <row r="519" spans="5:14" x14ac:dyDescent="0.3">
      <c r="E519" s="11"/>
      <c r="F519" s="8"/>
      <c r="I519" s="8"/>
      <c r="N519" s="8"/>
    </row>
    <row r="520" spans="5:14" x14ac:dyDescent="0.3">
      <c r="E520" s="11"/>
      <c r="F520" s="8"/>
      <c r="I520" s="8"/>
      <c r="N520" s="8"/>
    </row>
    <row r="521" spans="5:14" x14ac:dyDescent="0.3">
      <c r="E521" s="11"/>
      <c r="F521" s="8"/>
      <c r="I521" s="8"/>
      <c r="N521" s="8"/>
    </row>
    <row r="522" spans="5:14" x14ac:dyDescent="0.3">
      <c r="E522" s="11"/>
      <c r="F522" s="8"/>
      <c r="I522" s="8"/>
      <c r="N522" s="8"/>
    </row>
    <row r="523" spans="5:14" x14ac:dyDescent="0.3">
      <c r="E523" s="11"/>
      <c r="F523" s="8"/>
      <c r="I523" s="8"/>
      <c r="N523" s="8"/>
    </row>
    <row r="524" spans="5:14" x14ac:dyDescent="0.3">
      <c r="E524" s="11"/>
      <c r="F524" s="8"/>
      <c r="I524" s="8"/>
      <c r="N524" s="8"/>
    </row>
    <row r="525" spans="5:14" x14ac:dyDescent="0.3">
      <c r="E525" s="11"/>
      <c r="F525" s="8"/>
      <c r="I525" s="8"/>
      <c r="N525" s="8"/>
    </row>
    <row r="526" spans="5:14" x14ac:dyDescent="0.3">
      <c r="E526" s="11"/>
      <c r="F526" s="8"/>
      <c r="I526" s="8"/>
      <c r="N526" s="8"/>
    </row>
    <row r="527" spans="5:14" x14ac:dyDescent="0.3">
      <c r="E527" s="11"/>
      <c r="F527" s="8"/>
      <c r="I527" s="8"/>
      <c r="N527" s="8"/>
    </row>
    <row r="528" spans="5:14" x14ac:dyDescent="0.3">
      <c r="E528" s="11"/>
      <c r="F528" s="8"/>
      <c r="I528" s="8"/>
      <c r="N528" s="8"/>
    </row>
    <row r="529" spans="5:14" x14ac:dyDescent="0.3">
      <c r="E529" s="11"/>
      <c r="F529" s="8"/>
      <c r="I529" s="8"/>
      <c r="N529" s="8"/>
    </row>
    <row r="530" spans="5:14" x14ac:dyDescent="0.3">
      <c r="E530" s="11"/>
      <c r="F530" s="8"/>
      <c r="I530" s="8"/>
      <c r="N530" s="8"/>
    </row>
    <row r="531" spans="5:14" x14ac:dyDescent="0.3">
      <c r="E531" s="11"/>
      <c r="F531" s="8"/>
      <c r="I531" s="8"/>
      <c r="N531" s="8"/>
    </row>
    <row r="532" spans="5:14" x14ac:dyDescent="0.3">
      <c r="E532" s="11"/>
      <c r="F532" s="8"/>
      <c r="I532" s="8"/>
      <c r="N532" s="8"/>
    </row>
    <row r="533" spans="5:14" x14ac:dyDescent="0.3">
      <c r="E533" s="11"/>
      <c r="F533" s="8"/>
      <c r="I533" s="8"/>
      <c r="N533" s="8"/>
    </row>
    <row r="534" spans="5:14" x14ac:dyDescent="0.3">
      <c r="E534" s="11"/>
      <c r="F534" s="8"/>
      <c r="I534" s="8"/>
      <c r="N534" s="8"/>
    </row>
    <row r="535" spans="5:14" x14ac:dyDescent="0.3">
      <c r="E535" s="11"/>
      <c r="F535" s="8"/>
      <c r="I535" s="8"/>
      <c r="N535" s="8"/>
    </row>
    <row r="536" spans="5:14" x14ac:dyDescent="0.3">
      <c r="E536" s="11"/>
      <c r="F536" s="8"/>
      <c r="I536" s="8"/>
      <c r="N536" s="8"/>
    </row>
    <row r="537" spans="5:14" x14ac:dyDescent="0.3">
      <c r="E537" s="11"/>
      <c r="F537" s="8"/>
      <c r="I537" s="8"/>
      <c r="N537" s="8"/>
    </row>
    <row r="538" spans="5:14" x14ac:dyDescent="0.3">
      <c r="E538" s="11"/>
      <c r="F538" s="8"/>
      <c r="I538" s="8"/>
      <c r="N538" s="8"/>
    </row>
    <row r="539" spans="5:14" x14ac:dyDescent="0.3">
      <c r="E539" s="11"/>
      <c r="F539" s="8"/>
      <c r="I539" s="8"/>
      <c r="N539" s="8"/>
    </row>
    <row r="540" spans="5:14" x14ac:dyDescent="0.3">
      <c r="E540" s="11"/>
      <c r="F540" s="8"/>
      <c r="I540" s="8"/>
      <c r="N540" s="8"/>
    </row>
    <row r="541" spans="5:14" x14ac:dyDescent="0.3">
      <c r="E541" s="11"/>
      <c r="F541" s="8"/>
      <c r="I541" s="8"/>
      <c r="N541" s="8"/>
    </row>
    <row r="542" spans="5:14" x14ac:dyDescent="0.3">
      <c r="E542" s="11"/>
      <c r="F542" s="8"/>
      <c r="I542" s="8"/>
      <c r="N542" s="8"/>
    </row>
    <row r="543" spans="5:14" x14ac:dyDescent="0.3">
      <c r="E543" s="11"/>
      <c r="F543" s="8"/>
      <c r="I543" s="8"/>
      <c r="N543" s="8"/>
    </row>
    <row r="544" spans="5:14" x14ac:dyDescent="0.3">
      <c r="E544" s="11"/>
      <c r="F544" s="8"/>
      <c r="I544" s="8"/>
      <c r="N544" s="8"/>
    </row>
    <row r="545" spans="5:14" x14ac:dyDescent="0.3">
      <c r="E545" s="11"/>
      <c r="F545" s="8"/>
      <c r="I545" s="8"/>
      <c r="N545" s="8"/>
    </row>
    <row r="546" spans="5:14" x14ac:dyDescent="0.3">
      <c r="E546" s="11"/>
      <c r="F546" s="8"/>
      <c r="I546" s="8"/>
      <c r="N546" s="8"/>
    </row>
    <row r="547" spans="5:14" x14ac:dyDescent="0.3">
      <c r="E547" s="11"/>
      <c r="F547" s="8"/>
      <c r="I547" s="8"/>
      <c r="N547" s="8"/>
    </row>
    <row r="548" spans="5:14" x14ac:dyDescent="0.3">
      <c r="E548" s="11"/>
      <c r="F548" s="8"/>
      <c r="I548" s="8"/>
      <c r="N548" s="8"/>
    </row>
    <row r="549" spans="5:14" x14ac:dyDescent="0.3">
      <c r="E549" s="11"/>
      <c r="F549" s="8"/>
      <c r="I549" s="8"/>
      <c r="N549" s="8"/>
    </row>
    <row r="550" spans="5:14" x14ac:dyDescent="0.3">
      <c r="E550" s="11"/>
      <c r="F550" s="8"/>
      <c r="I550" s="8"/>
      <c r="N550" s="8"/>
    </row>
    <row r="551" spans="5:14" x14ac:dyDescent="0.3">
      <c r="E551" s="11"/>
      <c r="F551" s="8"/>
      <c r="I551" s="8"/>
      <c r="N551" s="8"/>
    </row>
    <row r="552" spans="5:14" x14ac:dyDescent="0.3">
      <c r="E552" s="11"/>
      <c r="F552" s="8"/>
      <c r="I552" s="8"/>
      <c r="N552" s="8"/>
    </row>
    <row r="553" spans="5:14" x14ac:dyDescent="0.3">
      <c r="E553" s="11"/>
      <c r="F553" s="8"/>
      <c r="I553" s="8"/>
      <c r="N553" s="8"/>
    </row>
    <row r="554" spans="5:14" x14ac:dyDescent="0.3">
      <c r="E554" s="11"/>
      <c r="F554" s="8"/>
      <c r="I554" s="8"/>
      <c r="N554" s="8"/>
    </row>
    <row r="555" spans="5:14" x14ac:dyDescent="0.3">
      <c r="E555" s="11"/>
      <c r="F555" s="8"/>
      <c r="I555" s="8"/>
      <c r="N555" s="8"/>
    </row>
    <row r="556" spans="5:14" x14ac:dyDescent="0.3">
      <c r="E556" s="11"/>
      <c r="F556" s="8"/>
      <c r="I556" s="8"/>
      <c r="N556" s="8"/>
    </row>
    <row r="557" spans="5:14" x14ac:dyDescent="0.3">
      <c r="E557" s="11"/>
      <c r="F557" s="8"/>
      <c r="I557" s="8"/>
      <c r="N557" s="8"/>
    </row>
    <row r="558" spans="5:14" x14ac:dyDescent="0.3">
      <c r="E558" s="11"/>
      <c r="F558" s="8"/>
      <c r="I558" s="8"/>
      <c r="N558" s="8"/>
    </row>
    <row r="559" spans="5:14" x14ac:dyDescent="0.3">
      <c r="E559" s="11"/>
      <c r="F559" s="8"/>
      <c r="I559" s="8"/>
      <c r="N559" s="8"/>
    </row>
    <row r="560" spans="5:14" x14ac:dyDescent="0.3">
      <c r="E560" s="11"/>
      <c r="F560" s="8"/>
      <c r="I560" s="8"/>
      <c r="N560" s="8"/>
    </row>
    <row r="561" spans="5:14" x14ac:dyDescent="0.3">
      <c r="E561" s="11"/>
      <c r="F561" s="8"/>
      <c r="I561" s="8"/>
      <c r="N561" s="8"/>
    </row>
    <row r="562" spans="5:14" x14ac:dyDescent="0.3">
      <c r="E562" s="11"/>
      <c r="F562" s="8"/>
      <c r="I562" s="8"/>
      <c r="N562" s="8"/>
    </row>
    <row r="563" spans="5:14" x14ac:dyDescent="0.3">
      <c r="E563" s="11"/>
      <c r="F563" s="8"/>
      <c r="I563" s="8"/>
      <c r="N563" s="8"/>
    </row>
    <row r="564" spans="5:14" x14ac:dyDescent="0.3">
      <c r="E564" s="11"/>
      <c r="F564" s="8"/>
      <c r="I564" s="8"/>
      <c r="N564" s="8"/>
    </row>
    <row r="565" spans="5:14" x14ac:dyDescent="0.3">
      <c r="E565" s="11"/>
      <c r="F565" s="8"/>
      <c r="I565" s="8"/>
      <c r="N565" s="8"/>
    </row>
    <row r="566" spans="5:14" x14ac:dyDescent="0.3">
      <c r="E566" s="11"/>
      <c r="F566" s="8"/>
      <c r="I566" s="8"/>
      <c r="N566" s="8"/>
    </row>
    <row r="567" spans="5:14" x14ac:dyDescent="0.3">
      <c r="E567" s="11"/>
      <c r="F567" s="8"/>
      <c r="I567" s="8"/>
      <c r="N567" s="8"/>
    </row>
    <row r="568" spans="5:14" x14ac:dyDescent="0.3">
      <c r="E568" s="11"/>
      <c r="F568" s="8"/>
      <c r="I568" s="8"/>
      <c r="N568" s="8"/>
    </row>
    <row r="569" spans="5:14" x14ac:dyDescent="0.3">
      <c r="E569" s="11"/>
      <c r="F569" s="8"/>
      <c r="I569" s="8"/>
      <c r="N569" s="8"/>
    </row>
    <row r="570" spans="5:14" x14ac:dyDescent="0.3">
      <c r="E570" s="11"/>
      <c r="F570" s="8"/>
      <c r="I570" s="8"/>
      <c r="N570" s="8"/>
    </row>
    <row r="571" spans="5:14" x14ac:dyDescent="0.3">
      <c r="E571" s="11"/>
      <c r="F571" s="8"/>
      <c r="I571" s="8"/>
      <c r="N571" s="8"/>
    </row>
    <row r="572" spans="5:14" x14ac:dyDescent="0.3">
      <c r="E572" s="11"/>
      <c r="F572" s="8"/>
      <c r="I572" s="8"/>
      <c r="N572" s="8"/>
    </row>
    <row r="573" spans="5:14" x14ac:dyDescent="0.3">
      <c r="E573" s="11"/>
      <c r="F573" s="8"/>
      <c r="I573" s="8"/>
      <c r="N573" s="8"/>
    </row>
    <row r="574" spans="5:14" x14ac:dyDescent="0.3">
      <c r="E574" s="11"/>
      <c r="F574" s="8"/>
      <c r="I574" s="8"/>
      <c r="N574" s="8"/>
    </row>
    <row r="575" spans="5:14" x14ac:dyDescent="0.3">
      <c r="E575" s="11"/>
      <c r="F575" s="8"/>
      <c r="I575" s="8"/>
      <c r="N575" s="8"/>
    </row>
    <row r="576" spans="5:14" x14ac:dyDescent="0.3">
      <c r="E576" s="11"/>
      <c r="F576" s="8"/>
      <c r="I576" s="8"/>
      <c r="N576" s="8"/>
    </row>
    <row r="577" spans="5:14" x14ac:dyDescent="0.3">
      <c r="E577" s="11"/>
      <c r="F577" s="8"/>
      <c r="I577" s="8"/>
      <c r="N577" s="8"/>
    </row>
    <row r="578" spans="5:14" x14ac:dyDescent="0.3">
      <c r="E578" s="11"/>
      <c r="F578" s="8"/>
      <c r="I578" s="8"/>
      <c r="N578" s="8"/>
    </row>
    <row r="579" spans="5:14" x14ac:dyDescent="0.3">
      <c r="E579" s="11"/>
      <c r="F579" s="8"/>
      <c r="I579" s="8"/>
      <c r="N579" s="8"/>
    </row>
    <row r="580" spans="5:14" x14ac:dyDescent="0.3">
      <c r="E580" s="11"/>
      <c r="F580" s="8"/>
      <c r="I580" s="8"/>
      <c r="N580" s="8"/>
    </row>
    <row r="581" spans="5:14" x14ac:dyDescent="0.3">
      <c r="E581" s="11"/>
      <c r="F581" s="8"/>
      <c r="I581" s="8"/>
      <c r="N581" s="8"/>
    </row>
    <row r="582" spans="5:14" x14ac:dyDescent="0.3">
      <c r="E582" s="11"/>
      <c r="F582" s="8"/>
      <c r="I582" s="8"/>
      <c r="N582" s="8"/>
    </row>
    <row r="583" spans="5:14" x14ac:dyDescent="0.3">
      <c r="E583" s="11"/>
      <c r="F583" s="8"/>
      <c r="I583" s="8"/>
      <c r="N583" s="8"/>
    </row>
    <row r="584" spans="5:14" x14ac:dyDescent="0.3">
      <c r="E584" s="11"/>
      <c r="F584" s="8"/>
      <c r="I584" s="8"/>
      <c r="N584" s="8"/>
    </row>
    <row r="585" spans="5:14" x14ac:dyDescent="0.3">
      <c r="E585" s="11"/>
      <c r="F585" s="8"/>
      <c r="I585" s="8"/>
      <c r="N585" s="8"/>
    </row>
    <row r="586" spans="5:14" x14ac:dyDescent="0.3">
      <c r="E586" s="11"/>
      <c r="F586" s="8"/>
      <c r="I586" s="8"/>
      <c r="N586" s="8"/>
    </row>
    <row r="587" spans="5:14" x14ac:dyDescent="0.3">
      <c r="E587" s="11"/>
      <c r="F587" s="8"/>
      <c r="I587" s="8"/>
      <c r="N587" s="8"/>
    </row>
    <row r="588" spans="5:14" x14ac:dyDescent="0.3">
      <c r="E588" s="11"/>
      <c r="F588" s="8"/>
      <c r="I588" s="8"/>
      <c r="N588" s="8"/>
    </row>
    <row r="589" spans="5:14" x14ac:dyDescent="0.3">
      <c r="E589" s="11"/>
      <c r="F589" s="8"/>
      <c r="I589" s="8"/>
      <c r="N589" s="8"/>
    </row>
    <row r="590" spans="5:14" x14ac:dyDescent="0.3">
      <c r="E590" s="11"/>
      <c r="F590" s="8"/>
      <c r="I590" s="8"/>
      <c r="N590" s="8"/>
    </row>
    <row r="591" spans="5:14" x14ac:dyDescent="0.3">
      <c r="E591" s="11"/>
      <c r="F591" s="8"/>
      <c r="I591" s="8"/>
      <c r="N591" s="8"/>
    </row>
    <row r="592" spans="5:14" x14ac:dyDescent="0.3">
      <c r="E592" s="11"/>
      <c r="F592" s="8"/>
      <c r="I592" s="8"/>
      <c r="N592" s="8"/>
    </row>
    <row r="593" spans="5:14" x14ac:dyDescent="0.3">
      <c r="E593" s="11"/>
      <c r="F593" s="8"/>
      <c r="I593" s="8"/>
      <c r="N593" s="8"/>
    </row>
    <row r="594" spans="5:14" x14ac:dyDescent="0.3">
      <c r="E594" s="11"/>
      <c r="F594" s="8"/>
      <c r="I594" s="8"/>
      <c r="N594" s="8"/>
    </row>
    <row r="595" spans="5:14" x14ac:dyDescent="0.3">
      <c r="E595" s="11"/>
      <c r="F595" s="8"/>
      <c r="I595" s="8"/>
      <c r="N595" s="8"/>
    </row>
    <row r="596" spans="5:14" x14ac:dyDescent="0.3">
      <c r="E596" s="11"/>
      <c r="F596" s="8"/>
      <c r="I596" s="8"/>
      <c r="N596" s="8"/>
    </row>
    <row r="597" spans="5:14" x14ac:dyDescent="0.3">
      <c r="E597" s="11"/>
      <c r="F597" s="8"/>
      <c r="I597" s="8"/>
      <c r="N597" s="8"/>
    </row>
    <row r="598" spans="5:14" x14ac:dyDescent="0.3">
      <c r="E598" s="11"/>
      <c r="F598" s="8"/>
      <c r="I598" s="8"/>
      <c r="N598" s="8"/>
    </row>
    <row r="599" spans="5:14" x14ac:dyDescent="0.3">
      <c r="E599" s="11"/>
      <c r="F599" s="8"/>
      <c r="I599" s="8"/>
      <c r="N599" s="8"/>
    </row>
    <row r="600" spans="5:14" x14ac:dyDescent="0.3">
      <c r="E600" s="11"/>
      <c r="F600" s="8"/>
      <c r="I600" s="8"/>
      <c r="N600" s="8"/>
    </row>
    <row r="601" spans="5:14" x14ac:dyDescent="0.3">
      <c r="E601" s="11"/>
      <c r="F601" s="8"/>
      <c r="I601" s="8"/>
      <c r="N601" s="8"/>
    </row>
    <row r="602" spans="5:14" x14ac:dyDescent="0.3">
      <c r="E602" s="11"/>
      <c r="F602" s="8"/>
      <c r="I602" s="8"/>
      <c r="N602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D1B8-5E7D-4A6B-9F91-47CEFE5A227C}">
  <dimension ref="B2:B13"/>
  <sheetViews>
    <sheetView zoomScale="29" workbookViewId="0">
      <selection activeCell="D9" sqref="D9"/>
    </sheetView>
  </sheetViews>
  <sheetFormatPr defaultRowHeight="14.4" x14ac:dyDescent="0.3"/>
  <cols>
    <col min="1" max="1" width="38" customWidth="1"/>
    <col min="2" max="2" width="45.77734375" customWidth="1"/>
  </cols>
  <sheetData>
    <row r="2" spans="2:2" x14ac:dyDescent="0.3">
      <c r="B2" s="65"/>
    </row>
    <row r="3" spans="2:2" x14ac:dyDescent="0.3">
      <c r="B3" s="65"/>
    </row>
    <row r="4" spans="2:2" x14ac:dyDescent="0.3">
      <c r="B4" s="65"/>
    </row>
    <row r="5" spans="2:2" x14ac:dyDescent="0.3">
      <c r="B5" s="65"/>
    </row>
    <row r="6" spans="2:2" x14ac:dyDescent="0.3">
      <c r="B6" s="65"/>
    </row>
    <row r="7" spans="2:2" x14ac:dyDescent="0.3">
      <c r="B7" s="65"/>
    </row>
    <row r="8" spans="2:2" x14ac:dyDescent="0.3">
      <c r="B8" s="65"/>
    </row>
    <row r="9" spans="2:2" x14ac:dyDescent="0.3">
      <c r="B9" s="65"/>
    </row>
    <row r="10" spans="2:2" x14ac:dyDescent="0.3">
      <c r="B10" s="65"/>
    </row>
    <row r="11" spans="2:2" x14ac:dyDescent="0.3">
      <c r="B11" s="65"/>
    </row>
    <row r="12" spans="2:2" x14ac:dyDescent="0.3">
      <c r="B12" s="65"/>
    </row>
    <row r="13" spans="2:2" x14ac:dyDescent="0.3">
      <c r="B13" s="65"/>
    </row>
  </sheetData>
  <mergeCells count="1">
    <mergeCell ref="B2:B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7EE5-8B41-431C-98D6-73D4469C1579}">
  <dimension ref="A1:P46"/>
  <sheetViews>
    <sheetView zoomScale="40" workbookViewId="0">
      <selection activeCell="F28" sqref="F28"/>
    </sheetView>
  </sheetViews>
  <sheetFormatPr defaultRowHeight="14.4" x14ac:dyDescent="0.3"/>
  <cols>
    <col min="1" max="1" width="13.33203125" bestFit="1" customWidth="1"/>
    <col min="2" max="2" width="16.21875" bestFit="1" customWidth="1"/>
    <col min="3" max="3" width="13.5546875" bestFit="1" customWidth="1"/>
    <col min="4" max="4" width="17" bestFit="1" customWidth="1"/>
    <col min="5" max="5" width="11.88671875" bestFit="1" customWidth="1"/>
    <col min="6" max="6" width="13.5546875" bestFit="1" customWidth="1"/>
    <col min="7" max="7" width="17" bestFit="1" customWidth="1"/>
    <col min="8" max="8" width="11.88671875" bestFit="1" customWidth="1"/>
    <col min="9" max="9" width="13.5546875" bestFit="1" customWidth="1"/>
    <col min="10" max="10" width="17" bestFit="1" customWidth="1"/>
    <col min="11" max="11" width="11.88671875" bestFit="1" customWidth="1"/>
    <col min="12" max="12" width="13.5546875" bestFit="1" customWidth="1"/>
    <col min="13" max="14" width="17" bestFit="1" customWidth="1"/>
    <col min="15" max="15" width="18.6640625" bestFit="1" customWidth="1"/>
    <col min="16" max="16" width="22.33203125" bestFit="1" customWidth="1"/>
    <col min="17" max="17" width="15.77734375" bestFit="1" customWidth="1"/>
    <col min="18" max="18" width="16.33203125" bestFit="1" customWidth="1"/>
    <col min="19" max="19" width="17.88671875" bestFit="1" customWidth="1"/>
    <col min="20" max="20" width="21.5546875" bestFit="1" customWidth="1"/>
    <col min="21" max="21" width="20.5546875" bestFit="1" customWidth="1"/>
  </cols>
  <sheetData>
    <row r="1" spans="1:16" x14ac:dyDescent="0.3">
      <c r="A1" s="65"/>
      <c r="B1" s="65"/>
      <c r="C1" s="65"/>
      <c r="D1" s="65"/>
      <c r="E1" s="65"/>
      <c r="F1" s="65"/>
      <c r="G1" s="65"/>
      <c r="H1" s="65"/>
      <c r="I1" s="65"/>
      <c r="J1" s="65"/>
    </row>
    <row r="2" spans="1:16" x14ac:dyDescent="0.3">
      <c r="A2" s="65"/>
      <c r="B2" s="65"/>
      <c r="C2" s="65"/>
      <c r="D2" s="65"/>
      <c r="E2" s="65"/>
      <c r="F2" s="65"/>
      <c r="G2" s="65"/>
      <c r="H2" s="65"/>
      <c r="I2" s="65"/>
      <c r="J2" s="65"/>
    </row>
    <row r="3" spans="1:16" x14ac:dyDescent="0.3">
      <c r="A3" s="28"/>
      <c r="B3" s="29" t="s">
        <v>517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x14ac:dyDescent="0.3">
      <c r="A4" s="28"/>
      <c r="B4" s="28" t="s">
        <v>26</v>
      </c>
      <c r="C4" s="28"/>
      <c r="D4" s="28"/>
      <c r="E4" s="28" t="s">
        <v>21</v>
      </c>
      <c r="F4" s="28"/>
      <c r="G4" s="28"/>
      <c r="H4" s="28" t="s">
        <v>53</v>
      </c>
      <c r="I4" s="28"/>
      <c r="J4" s="28"/>
      <c r="K4" s="28" t="s">
        <v>14</v>
      </c>
      <c r="L4" s="28"/>
      <c r="M4" s="28"/>
      <c r="N4" s="28" t="s">
        <v>519</v>
      </c>
      <c r="O4" s="28" t="s">
        <v>520</v>
      </c>
      <c r="P4" s="28" t="s">
        <v>522</v>
      </c>
    </row>
    <row r="5" spans="1:16" x14ac:dyDescent="0.3">
      <c r="A5" s="29" t="s">
        <v>514</v>
      </c>
      <c r="B5" s="28" t="s">
        <v>518</v>
      </c>
      <c r="C5" s="28" t="s">
        <v>521</v>
      </c>
      <c r="D5" s="28" t="s">
        <v>523</v>
      </c>
      <c r="E5" s="28" t="s">
        <v>518</v>
      </c>
      <c r="F5" s="28" t="s">
        <v>521</v>
      </c>
      <c r="G5" s="28" t="s">
        <v>523</v>
      </c>
      <c r="H5" s="28" t="s">
        <v>518</v>
      </c>
      <c r="I5" s="28" t="s">
        <v>521</v>
      </c>
      <c r="J5" s="28" t="s">
        <v>523</v>
      </c>
      <c r="K5" s="28" t="s">
        <v>518</v>
      </c>
      <c r="L5" s="28" t="s">
        <v>521</v>
      </c>
      <c r="M5" s="28" t="s">
        <v>523</v>
      </c>
      <c r="N5" s="28"/>
      <c r="O5" s="28"/>
      <c r="P5" s="28"/>
    </row>
    <row r="6" spans="1:16" x14ac:dyDescent="0.3">
      <c r="A6" s="30" t="s">
        <v>43</v>
      </c>
      <c r="B6" s="28">
        <v>278757</v>
      </c>
      <c r="C6" s="28">
        <v>16508</v>
      </c>
      <c r="D6" s="28">
        <v>13676</v>
      </c>
      <c r="E6" s="28">
        <v>246297</v>
      </c>
      <c r="F6" s="28">
        <v>18856</v>
      </c>
      <c r="G6" s="28">
        <v>12611</v>
      </c>
      <c r="H6" s="28">
        <v>394886</v>
      </c>
      <c r="I6" s="28">
        <v>21298</v>
      </c>
      <c r="J6" s="28">
        <v>14381</v>
      </c>
      <c r="K6" s="28">
        <v>279732</v>
      </c>
      <c r="L6" s="28">
        <v>24668</v>
      </c>
      <c r="M6" s="28">
        <v>13714</v>
      </c>
      <c r="N6" s="28">
        <v>1199672</v>
      </c>
      <c r="O6" s="28">
        <v>81330</v>
      </c>
      <c r="P6" s="28">
        <v>54382</v>
      </c>
    </row>
    <row r="7" spans="1:16" x14ac:dyDescent="0.3">
      <c r="A7" s="30" t="s">
        <v>16</v>
      </c>
      <c r="B7" s="28">
        <v>218031</v>
      </c>
      <c r="C7" s="28">
        <v>18753</v>
      </c>
      <c r="D7" s="28">
        <v>10389</v>
      </c>
      <c r="E7" s="28">
        <v>329722</v>
      </c>
      <c r="F7" s="28">
        <v>19905</v>
      </c>
      <c r="G7" s="28">
        <v>14305</v>
      </c>
      <c r="H7" s="28">
        <v>148676</v>
      </c>
      <c r="I7" s="28">
        <v>7832</v>
      </c>
      <c r="J7" s="28">
        <v>6092</v>
      </c>
      <c r="K7" s="28">
        <v>195079</v>
      </c>
      <c r="L7" s="28">
        <v>10604</v>
      </c>
      <c r="M7" s="28">
        <v>8277</v>
      </c>
      <c r="N7" s="28">
        <v>891508</v>
      </c>
      <c r="O7" s="28">
        <v>57094</v>
      </c>
      <c r="P7" s="28">
        <v>39063</v>
      </c>
    </row>
    <row r="8" spans="1:16" x14ac:dyDescent="0.3">
      <c r="A8" s="30" t="s">
        <v>28</v>
      </c>
      <c r="B8" s="28">
        <v>206053</v>
      </c>
      <c r="C8" s="28">
        <v>14750</v>
      </c>
      <c r="D8" s="28">
        <v>9295</v>
      </c>
      <c r="E8" s="28">
        <v>279588</v>
      </c>
      <c r="F8" s="28">
        <v>17963</v>
      </c>
      <c r="G8" s="28">
        <v>11014</v>
      </c>
      <c r="H8" s="28">
        <v>249305</v>
      </c>
      <c r="I8" s="28">
        <v>15862</v>
      </c>
      <c r="J8" s="28">
        <v>9160</v>
      </c>
      <c r="K8" s="28">
        <v>187129</v>
      </c>
      <c r="L8" s="28">
        <v>14136</v>
      </c>
      <c r="M8" s="28">
        <v>8101</v>
      </c>
      <c r="N8" s="28">
        <v>922075</v>
      </c>
      <c r="O8" s="28">
        <v>62711</v>
      </c>
      <c r="P8" s="28">
        <v>37570</v>
      </c>
    </row>
    <row r="9" spans="1:16" x14ac:dyDescent="0.3">
      <c r="A9" s="30" t="s">
        <v>34</v>
      </c>
      <c r="B9" s="28">
        <v>244355</v>
      </c>
      <c r="C9" s="28">
        <v>13194</v>
      </c>
      <c r="D9" s="28">
        <v>7426</v>
      </c>
      <c r="E9" s="28">
        <v>278759</v>
      </c>
      <c r="F9" s="28">
        <v>14236</v>
      </c>
      <c r="G9" s="28">
        <v>11770</v>
      </c>
      <c r="H9" s="28">
        <v>244756</v>
      </c>
      <c r="I9" s="28">
        <v>14669</v>
      </c>
      <c r="J9" s="28">
        <v>9640</v>
      </c>
      <c r="K9" s="28">
        <v>286318</v>
      </c>
      <c r="L9" s="28">
        <v>18052</v>
      </c>
      <c r="M9" s="28">
        <v>12537</v>
      </c>
      <c r="N9" s="28">
        <v>1054188</v>
      </c>
      <c r="O9" s="28">
        <v>60151</v>
      </c>
      <c r="P9" s="28">
        <v>41373</v>
      </c>
    </row>
    <row r="10" spans="1:16" x14ac:dyDescent="0.3">
      <c r="A10" s="30" t="s">
        <v>516</v>
      </c>
      <c r="B10" s="28">
        <v>947196</v>
      </c>
      <c r="C10" s="28">
        <v>63205</v>
      </c>
      <c r="D10" s="28">
        <v>40786</v>
      </c>
      <c r="E10" s="28">
        <v>1134366</v>
      </c>
      <c r="F10" s="28">
        <v>70960</v>
      </c>
      <c r="G10" s="28">
        <v>49700</v>
      </c>
      <c r="H10" s="28">
        <v>1037623</v>
      </c>
      <c r="I10" s="28">
        <v>59661</v>
      </c>
      <c r="J10" s="28">
        <v>39273</v>
      </c>
      <c r="K10" s="28">
        <v>948258</v>
      </c>
      <c r="L10" s="28">
        <v>67460</v>
      </c>
      <c r="M10" s="28">
        <v>42629</v>
      </c>
      <c r="N10" s="28">
        <v>4067443</v>
      </c>
      <c r="O10" s="28">
        <v>261286</v>
      </c>
      <c r="P10" s="28">
        <v>172388</v>
      </c>
    </row>
    <row r="19" spans="1:5" x14ac:dyDescent="0.3">
      <c r="A19" s="65"/>
      <c r="B19" s="65"/>
      <c r="C19" s="65"/>
      <c r="D19" s="65"/>
      <c r="E19" s="65"/>
    </row>
    <row r="20" spans="1:5" x14ac:dyDescent="0.3">
      <c r="A20" s="65"/>
      <c r="B20" s="65"/>
      <c r="C20" s="65"/>
      <c r="D20" s="65"/>
      <c r="E20" s="65"/>
    </row>
    <row r="22" spans="1:5" x14ac:dyDescent="0.3">
      <c r="A22" s="24" t="s">
        <v>514</v>
      </c>
      <c r="B22" t="s">
        <v>525</v>
      </c>
    </row>
    <row r="23" spans="1:5" x14ac:dyDescent="0.3">
      <c r="A23" s="25" t="s">
        <v>29</v>
      </c>
      <c r="B23" s="28">
        <v>1592.72</v>
      </c>
    </row>
    <row r="24" spans="1:5" x14ac:dyDescent="0.3">
      <c r="A24" s="31" t="s">
        <v>30</v>
      </c>
      <c r="B24" s="28">
        <v>1592.72</v>
      </c>
    </row>
    <row r="25" spans="1:5" x14ac:dyDescent="0.3">
      <c r="A25" s="25" t="s">
        <v>35</v>
      </c>
      <c r="B25" s="28">
        <v>1541.3725490196077</v>
      </c>
    </row>
    <row r="26" spans="1:5" x14ac:dyDescent="0.3">
      <c r="A26" s="31" t="s">
        <v>36</v>
      </c>
      <c r="B26" s="28">
        <v>1477.2631578947369</v>
      </c>
    </row>
    <row r="27" spans="1:5" x14ac:dyDescent="0.3">
      <c r="A27" s="31" t="s">
        <v>70</v>
      </c>
      <c r="B27" s="28">
        <v>1579.4375</v>
      </c>
    </row>
    <row r="28" spans="1:5" x14ac:dyDescent="0.3">
      <c r="A28" s="25" t="s">
        <v>44</v>
      </c>
      <c r="B28" s="28">
        <v>1463.2941176470588</v>
      </c>
    </row>
    <row r="29" spans="1:5" x14ac:dyDescent="0.3">
      <c r="A29" s="31" t="s">
        <v>45</v>
      </c>
      <c r="B29" s="28">
        <v>1463.2941176470588</v>
      </c>
    </row>
    <row r="30" spans="1:5" x14ac:dyDescent="0.3">
      <c r="A30" s="25" t="s">
        <v>48</v>
      </c>
      <c r="B30" s="28">
        <v>1711.5135135135135</v>
      </c>
    </row>
    <row r="31" spans="1:5" x14ac:dyDescent="0.3">
      <c r="A31" s="31" t="s">
        <v>49</v>
      </c>
      <c r="B31" s="28">
        <v>1711.5135135135135</v>
      </c>
    </row>
    <row r="32" spans="1:5" x14ac:dyDescent="0.3">
      <c r="A32" s="25" t="s">
        <v>17</v>
      </c>
      <c r="B32" s="28">
        <v>1674.96</v>
      </c>
    </row>
    <row r="33" spans="1:2" x14ac:dyDescent="0.3">
      <c r="A33" s="31" t="s">
        <v>18</v>
      </c>
      <c r="B33" s="28">
        <v>1674.96</v>
      </c>
    </row>
    <row r="34" spans="1:2" x14ac:dyDescent="0.3">
      <c r="A34" s="25" t="s">
        <v>55</v>
      </c>
      <c r="B34" s="28">
        <v>1811.3103448275863</v>
      </c>
    </row>
    <row r="35" spans="1:2" x14ac:dyDescent="0.3">
      <c r="A35" s="31" t="s">
        <v>56</v>
      </c>
      <c r="B35" s="28">
        <v>1811.3103448275863</v>
      </c>
    </row>
    <row r="36" spans="1:2" x14ac:dyDescent="0.3">
      <c r="A36" s="25" t="s">
        <v>78</v>
      </c>
      <c r="B36" s="28">
        <v>1706.76</v>
      </c>
    </row>
    <row r="37" spans="1:2" x14ac:dyDescent="0.3">
      <c r="A37" s="31" t="s">
        <v>40</v>
      </c>
      <c r="B37" s="28">
        <v>1706.76</v>
      </c>
    </row>
    <row r="38" spans="1:2" x14ac:dyDescent="0.3">
      <c r="A38" s="25" t="s">
        <v>22</v>
      </c>
      <c r="B38" s="28">
        <v>1680.3571428571429</v>
      </c>
    </row>
    <row r="39" spans="1:2" x14ac:dyDescent="0.3">
      <c r="A39" s="31" t="s">
        <v>23</v>
      </c>
      <c r="B39" s="28">
        <v>1680.3571428571429</v>
      </c>
    </row>
    <row r="40" spans="1:2" x14ac:dyDescent="0.3">
      <c r="A40" s="25" t="s">
        <v>93</v>
      </c>
      <c r="B40" s="28">
        <v>1289.4117647058824</v>
      </c>
    </row>
    <row r="41" spans="1:2" x14ac:dyDescent="0.3">
      <c r="A41" s="31" t="s">
        <v>515</v>
      </c>
      <c r="B41" s="28">
        <v>1289.4117647058824</v>
      </c>
    </row>
    <row r="42" spans="1:2" x14ac:dyDescent="0.3">
      <c r="A42" s="25" t="s">
        <v>40</v>
      </c>
      <c r="B42" s="28">
        <v>1592.9375</v>
      </c>
    </row>
    <row r="43" spans="1:2" x14ac:dyDescent="0.3">
      <c r="A43" s="31" t="s">
        <v>515</v>
      </c>
      <c r="B43" s="28">
        <v>1592.9375</v>
      </c>
    </row>
    <row r="44" spans="1:2" x14ac:dyDescent="0.3">
      <c r="A44" s="25" t="s">
        <v>177</v>
      </c>
      <c r="B44" s="28">
        <v>1459.3076923076924</v>
      </c>
    </row>
    <row r="45" spans="1:2" x14ac:dyDescent="0.3">
      <c r="A45" s="31" t="s">
        <v>178</v>
      </c>
      <c r="B45" s="28">
        <v>1459.3076923076924</v>
      </c>
    </row>
    <row r="46" spans="1:2" x14ac:dyDescent="0.3">
      <c r="A46" s="25" t="s">
        <v>516</v>
      </c>
      <c r="B46" s="28">
        <v>1606.6833333333334</v>
      </c>
    </row>
  </sheetData>
  <mergeCells count="2">
    <mergeCell ref="A1:J2"/>
    <mergeCell ref="A19:E20"/>
  </mergeCell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F04B8-D9BA-449A-8460-22ACE13DE115}">
  <dimension ref="A1:B27"/>
  <sheetViews>
    <sheetView zoomScale="45" zoomScaleNormal="70" workbookViewId="0">
      <selection activeCell="E8" sqref="E8"/>
    </sheetView>
  </sheetViews>
  <sheetFormatPr defaultRowHeight="14.4" x14ac:dyDescent="0.3"/>
  <cols>
    <col min="1" max="1" width="20.5546875" bestFit="1" customWidth="1"/>
    <col min="2" max="2" width="31.77734375" customWidth="1"/>
  </cols>
  <sheetData>
    <row r="1" spans="1:2" x14ac:dyDescent="0.3">
      <c r="A1" s="65"/>
      <c r="B1" s="65"/>
    </row>
    <row r="2" spans="1:2" x14ac:dyDescent="0.3">
      <c r="A2" s="65"/>
      <c r="B2" s="65"/>
    </row>
    <row r="3" spans="1:2" x14ac:dyDescent="0.3">
      <c r="A3" s="24" t="s">
        <v>514</v>
      </c>
      <c r="B3" t="s">
        <v>525</v>
      </c>
    </row>
    <row r="4" spans="1:2" x14ac:dyDescent="0.3">
      <c r="A4" s="25" t="s">
        <v>29</v>
      </c>
      <c r="B4" s="28">
        <v>1592.72</v>
      </c>
    </row>
    <row r="5" spans="1:2" x14ac:dyDescent="0.3">
      <c r="A5" s="31" t="s">
        <v>30</v>
      </c>
      <c r="B5" s="28">
        <v>1592.72</v>
      </c>
    </row>
    <row r="6" spans="1:2" x14ac:dyDescent="0.3">
      <c r="A6" s="25" t="s">
        <v>35</v>
      </c>
      <c r="B6" s="28">
        <v>1541.3725490196077</v>
      </c>
    </row>
    <row r="7" spans="1:2" x14ac:dyDescent="0.3">
      <c r="A7" s="31" t="s">
        <v>36</v>
      </c>
      <c r="B7" s="28">
        <v>1477.2631578947369</v>
      </c>
    </row>
    <row r="8" spans="1:2" x14ac:dyDescent="0.3">
      <c r="A8" s="31" t="s">
        <v>70</v>
      </c>
      <c r="B8" s="28">
        <v>1579.4375</v>
      </c>
    </row>
    <row r="9" spans="1:2" x14ac:dyDescent="0.3">
      <c r="A9" s="25" t="s">
        <v>44</v>
      </c>
      <c r="B9" s="28">
        <v>1463.2941176470588</v>
      </c>
    </row>
    <row r="10" spans="1:2" x14ac:dyDescent="0.3">
      <c r="A10" s="31" t="s">
        <v>45</v>
      </c>
      <c r="B10" s="28">
        <v>1463.2941176470588</v>
      </c>
    </row>
    <row r="11" spans="1:2" x14ac:dyDescent="0.3">
      <c r="A11" s="32" t="s">
        <v>48</v>
      </c>
      <c r="B11" s="33">
        <v>1711.5135135135135</v>
      </c>
    </row>
    <row r="12" spans="1:2" x14ac:dyDescent="0.3">
      <c r="A12" s="34" t="s">
        <v>49</v>
      </c>
      <c r="B12" s="33">
        <v>1711.5135135135135</v>
      </c>
    </row>
    <row r="13" spans="1:2" x14ac:dyDescent="0.3">
      <c r="A13" s="32" t="s">
        <v>17</v>
      </c>
      <c r="B13" s="33">
        <v>1674.96</v>
      </c>
    </row>
    <row r="14" spans="1:2" x14ac:dyDescent="0.3">
      <c r="A14" s="34" t="s">
        <v>18</v>
      </c>
      <c r="B14" s="33">
        <v>1674.96</v>
      </c>
    </row>
    <row r="15" spans="1:2" x14ac:dyDescent="0.3">
      <c r="A15" s="32" t="s">
        <v>55</v>
      </c>
      <c r="B15" s="33">
        <v>1811.3103448275863</v>
      </c>
    </row>
    <row r="16" spans="1:2" x14ac:dyDescent="0.3">
      <c r="A16" s="34" t="s">
        <v>56</v>
      </c>
      <c r="B16" s="33">
        <v>1811.3103448275863</v>
      </c>
    </row>
    <row r="17" spans="1:2" x14ac:dyDescent="0.3">
      <c r="A17" s="32" t="s">
        <v>78</v>
      </c>
      <c r="B17" s="33">
        <v>1706.76</v>
      </c>
    </row>
    <row r="18" spans="1:2" x14ac:dyDescent="0.3">
      <c r="A18" s="34" t="s">
        <v>40</v>
      </c>
      <c r="B18" s="33">
        <v>1706.76</v>
      </c>
    </row>
    <row r="19" spans="1:2" x14ac:dyDescent="0.3">
      <c r="A19" s="32" t="s">
        <v>22</v>
      </c>
      <c r="B19" s="33">
        <v>1680.3571428571429</v>
      </c>
    </row>
    <row r="20" spans="1:2" x14ac:dyDescent="0.3">
      <c r="A20" s="34" t="s">
        <v>23</v>
      </c>
      <c r="B20" s="33">
        <v>1680.3571428571429</v>
      </c>
    </row>
    <row r="21" spans="1:2" x14ac:dyDescent="0.3">
      <c r="A21" s="25" t="s">
        <v>93</v>
      </c>
      <c r="B21" s="28">
        <v>1289.4117647058824</v>
      </c>
    </row>
    <row r="22" spans="1:2" x14ac:dyDescent="0.3">
      <c r="A22" s="31" t="s">
        <v>515</v>
      </c>
      <c r="B22" s="28">
        <v>1289.4117647058824</v>
      </c>
    </row>
    <row r="23" spans="1:2" x14ac:dyDescent="0.3">
      <c r="A23" s="25" t="s">
        <v>40</v>
      </c>
      <c r="B23" s="28">
        <v>1592.9375</v>
      </c>
    </row>
    <row r="24" spans="1:2" x14ac:dyDescent="0.3">
      <c r="A24" s="31" t="s">
        <v>515</v>
      </c>
      <c r="B24" s="28">
        <v>1592.9375</v>
      </c>
    </row>
    <row r="25" spans="1:2" x14ac:dyDescent="0.3">
      <c r="A25" s="25" t="s">
        <v>177</v>
      </c>
      <c r="B25" s="28">
        <v>1459.3076923076924</v>
      </c>
    </row>
    <row r="26" spans="1:2" x14ac:dyDescent="0.3">
      <c r="A26" s="31" t="s">
        <v>178</v>
      </c>
      <c r="B26" s="28">
        <v>1459.3076923076924</v>
      </c>
    </row>
    <row r="27" spans="1:2" x14ac:dyDescent="0.3">
      <c r="A27" s="25" t="s">
        <v>516</v>
      </c>
      <c r="B27" s="28">
        <v>1606.6833333333334</v>
      </c>
    </row>
  </sheetData>
  <mergeCells count="1">
    <mergeCell ref="A1:B2"/>
  </mergeCells>
  <conditionalFormatting sqref="D7">
    <cfRule type="containsText" dxfId="2" priority="1" operator="containsText" text="AppleEvent">
      <formula>NOT(ISERROR(SEARCH("AppleEvent",D7)))</formula>
    </cfRule>
  </conditionalFormatting>
  <conditionalFormatting sqref="E9">
    <cfRule type="containsText" dxfId="1" priority="2" operator="containsText" text="#AppleEvent">
      <formula>NOT(ISERROR(SEARCH("#AppleEvent",E9)))</formula>
    </cfRule>
    <cfRule type="containsText" dxfId="0" priority="3" operator="containsText" text="#ShotOniPhone">
      <formula>NOT(ISERROR(SEARCH("#ShotOniPhone",E9)))</formula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11AE5-4132-470B-9D47-8366EEA40D48}">
  <dimension ref="A3:C9"/>
  <sheetViews>
    <sheetView zoomScale="51" workbookViewId="0">
      <selection activeCell="E19" sqref="E19"/>
    </sheetView>
  </sheetViews>
  <sheetFormatPr defaultRowHeight="14.4" x14ac:dyDescent="0.3"/>
  <cols>
    <col min="1" max="1" width="12.5546875" bestFit="1" customWidth="1"/>
    <col min="2" max="2" width="23.77734375" bestFit="1" customWidth="1"/>
    <col min="3" max="3" width="58.21875" customWidth="1"/>
  </cols>
  <sheetData>
    <row r="3" spans="1:3" x14ac:dyDescent="0.3">
      <c r="A3" s="24" t="s">
        <v>514</v>
      </c>
      <c r="B3" t="s">
        <v>550</v>
      </c>
      <c r="C3" s="65"/>
    </row>
    <row r="4" spans="1:3" x14ac:dyDescent="0.3">
      <c r="A4" s="48" t="s">
        <v>14</v>
      </c>
      <c r="B4" s="47">
        <v>0.17920259899209665</v>
      </c>
      <c r="C4" s="65"/>
    </row>
    <row r="5" spans="1:3" x14ac:dyDescent="0.3">
      <c r="A5" s="25" t="s">
        <v>53</v>
      </c>
      <c r="B5" s="46">
        <v>0.17598390717261969</v>
      </c>
      <c r="C5" s="65"/>
    </row>
    <row r="6" spans="1:3" x14ac:dyDescent="0.3">
      <c r="A6" s="25" t="s">
        <v>26</v>
      </c>
      <c r="B6" s="46">
        <v>0.15726100143394278</v>
      </c>
      <c r="C6" s="65"/>
    </row>
    <row r="7" spans="1:3" x14ac:dyDescent="0.3">
      <c r="A7" s="25" t="s">
        <v>21</v>
      </c>
      <c r="B7" s="46">
        <v>0.13969775668293971</v>
      </c>
      <c r="C7" s="65"/>
    </row>
    <row r="8" spans="1:3" x14ac:dyDescent="0.3">
      <c r="A8" s="25" t="s">
        <v>516</v>
      </c>
      <c r="B8" s="46">
        <v>0.16286488301047142</v>
      </c>
      <c r="C8" s="65"/>
    </row>
    <row r="9" spans="1:3" x14ac:dyDescent="0.3">
      <c r="C9" s="65"/>
    </row>
  </sheetData>
  <mergeCells count="1">
    <mergeCell ref="C3:C9"/>
  </mergeCells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4284-7FC4-47EF-B392-CAC3D464BB0E}">
  <dimension ref="A1:D11"/>
  <sheetViews>
    <sheetView zoomScale="81"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35.88671875" customWidth="1"/>
    <col min="4" max="4" width="38.5546875" customWidth="1"/>
  </cols>
  <sheetData>
    <row r="1" spans="1:4" x14ac:dyDescent="0.3">
      <c r="A1" s="65"/>
      <c r="B1" s="65"/>
    </row>
    <row r="2" spans="1:4" x14ac:dyDescent="0.3">
      <c r="A2" s="65"/>
      <c r="B2" s="65"/>
    </row>
    <row r="3" spans="1:4" x14ac:dyDescent="0.3">
      <c r="A3" s="49" t="s">
        <v>514</v>
      </c>
      <c r="B3" s="46" t="s">
        <v>552</v>
      </c>
    </row>
    <row r="4" spans="1:4" x14ac:dyDescent="0.3">
      <c r="A4" s="50" t="s">
        <v>26</v>
      </c>
      <c r="B4" s="46">
        <v>1.2930230453355012E-2</v>
      </c>
    </row>
    <row r="5" spans="1:4" x14ac:dyDescent="0.3">
      <c r="A5" s="50" t="s">
        <v>21</v>
      </c>
      <c r="B5" s="46">
        <v>9.3341356259097601E-3</v>
      </c>
      <c r="D5" s="65"/>
    </row>
    <row r="6" spans="1:4" x14ac:dyDescent="0.3">
      <c r="A6" s="50" t="s">
        <v>53</v>
      </c>
      <c r="B6" s="46">
        <v>1.5410391600619073E-2</v>
      </c>
      <c r="D6" s="65"/>
    </row>
    <row r="7" spans="1:4" x14ac:dyDescent="0.3">
      <c r="A7" s="50" t="s">
        <v>14</v>
      </c>
      <c r="B7" s="46">
        <v>1.4024865122628067E-2</v>
      </c>
      <c r="D7" s="65"/>
    </row>
    <row r="8" spans="1:4" x14ac:dyDescent="0.3">
      <c r="A8" s="50" t="s">
        <v>515</v>
      </c>
      <c r="B8" s="46"/>
      <c r="D8" s="65"/>
    </row>
    <row r="9" spans="1:4" x14ac:dyDescent="0.3">
      <c r="A9" s="50" t="s">
        <v>516</v>
      </c>
      <c r="B9" s="46">
        <v>1.2919012544403244E-2</v>
      </c>
      <c r="D9" s="65"/>
    </row>
    <row r="10" spans="1:4" x14ac:dyDescent="0.3">
      <c r="D10" s="65"/>
    </row>
    <row r="11" spans="1:4" x14ac:dyDescent="0.3">
      <c r="D11" s="65"/>
    </row>
  </sheetData>
  <mergeCells count="2">
    <mergeCell ref="A1:B2"/>
    <mergeCell ref="D5:D11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08A-5DF7-4EB5-B8C6-C7D724EE3776}">
  <dimension ref="A3:J24"/>
  <sheetViews>
    <sheetView topLeftCell="A10" zoomScale="142" workbookViewId="0">
      <selection activeCell="G31" sqref="G31"/>
    </sheetView>
  </sheetViews>
  <sheetFormatPr defaultRowHeight="14.4" x14ac:dyDescent="0.3"/>
  <cols>
    <col min="1" max="1" width="12.5546875" bestFit="1" customWidth="1"/>
    <col min="2" max="2" width="19.44140625" bestFit="1" customWidth="1"/>
    <col min="3" max="3" width="23.77734375" bestFit="1" customWidth="1"/>
    <col min="8" max="8" width="17.21875" customWidth="1"/>
    <col min="9" max="9" width="23.88671875" customWidth="1"/>
    <col min="10" max="10" width="33.88671875" customWidth="1"/>
  </cols>
  <sheetData>
    <row r="3" spans="1:10" x14ac:dyDescent="0.3">
      <c r="A3" s="24" t="s">
        <v>514</v>
      </c>
      <c r="B3" s="51" t="s">
        <v>553</v>
      </c>
      <c r="C3" s="46" t="s">
        <v>550</v>
      </c>
    </row>
    <row r="4" spans="1:10" x14ac:dyDescent="0.3">
      <c r="A4" s="25" t="s">
        <v>26</v>
      </c>
      <c r="B4" s="51">
        <v>33802.76470588235</v>
      </c>
      <c r="C4" s="46">
        <v>0.15726100143394278</v>
      </c>
      <c r="H4" s="55"/>
      <c r="I4" s="55"/>
      <c r="J4" s="55"/>
    </row>
    <row r="5" spans="1:10" x14ac:dyDescent="0.3">
      <c r="A5" s="25" t="s">
        <v>21</v>
      </c>
      <c r="B5" s="51">
        <v>35747.972222222219</v>
      </c>
      <c r="C5" s="46">
        <v>0.13969775668293971</v>
      </c>
      <c r="H5" s="23"/>
      <c r="I5" s="23"/>
      <c r="J5" s="54"/>
    </row>
    <row r="6" spans="1:10" x14ac:dyDescent="0.3">
      <c r="A6" s="25" t="s">
        <v>53</v>
      </c>
      <c r="B6" s="51">
        <v>34206.567567567567</v>
      </c>
      <c r="C6" s="46">
        <v>0.17598390717261969</v>
      </c>
      <c r="H6" s="23"/>
      <c r="I6" s="23"/>
      <c r="J6" s="54"/>
    </row>
    <row r="7" spans="1:10" x14ac:dyDescent="0.3">
      <c r="A7" s="25" t="s">
        <v>14</v>
      </c>
      <c r="B7" s="51">
        <v>32669</v>
      </c>
      <c r="C7" s="46">
        <v>0.17920259899209665</v>
      </c>
      <c r="H7" s="23"/>
      <c r="I7" s="23"/>
      <c r="J7" s="54"/>
    </row>
    <row r="8" spans="1:10" x14ac:dyDescent="0.3">
      <c r="A8" s="25" t="s">
        <v>516</v>
      </c>
      <c r="B8" s="51">
        <v>34142.435714285712</v>
      </c>
      <c r="C8" s="46">
        <v>0.16286488301047142</v>
      </c>
      <c r="H8" s="23"/>
      <c r="I8" s="23"/>
      <c r="J8" s="54"/>
    </row>
    <row r="12" spans="1:10" x14ac:dyDescent="0.3">
      <c r="B12" s="65"/>
      <c r="C12" s="65"/>
      <c r="D12" s="65"/>
      <c r="E12" s="65"/>
      <c r="F12" s="65"/>
    </row>
    <row r="13" spans="1:10" x14ac:dyDescent="0.3">
      <c r="B13" s="65"/>
      <c r="C13" s="65"/>
      <c r="D13" s="65"/>
      <c r="E13" s="65"/>
      <c r="F13" s="65"/>
    </row>
    <row r="20" spans="7:9" x14ac:dyDescent="0.3">
      <c r="G20" s="26" t="s">
        <v>514</v>
      </c>
      <c r="H20" s="52" t="s">
        <v>553</v>
      </c>
      <c r="I20" s="53" t="s">
        <v>550</v>
      </c>
    </row>
    <row r="21" spans="7:9" x14ac:dyDescent="0.3">
      <c r="G21" s="25" t="s">
        <v>26</v>
      </c>
      <c r="H21" s="51">
        <v>33802.76470588235</v>
      </c>
      <c r="I21" s="46">
        <v>0.15726100143394278</v>
      </c>
    </row>
    <row r="22" spans="7:9" x14ac:dyDescent="0.3">
      <c r="G22" s="25" t="s">
        <v>21</v>
      </c>
      <c r="H22" s="51">
        <v>35747.972222222219</v>
      </c>
      <c r="I22" s="46">
        <v>0.13969775668293971</v>
      </c>
    </row>
    <row r="23" spans="7:9" x14ac:dyDescent="0.3">
      <c r="G23" s="25" t="s">
        <v>53</v>
      </c>
      <c r="H23" s="51">
        <v>34206.567567567567</v>
      </c>
      <c r="I23" s="46">
        <v>0.17598390717261969</v>
      </c>
    </row>
    <row r="24" spans="7:9" x14ac:dyDescent="0.3">
      <c r="G24" s="25" t="s">
        <v>14</v>
      </c>
      <c r="H24" s="51">
        <v>32669</v>
      </c>
      <c r="I24" s="46">
        <v>0.17920259899209665</v>
      </c>
    </row>
  </sheetData>
  <mergeCells count="1">
    <mergeCell ref="B12:F13"/>
  </mergeCells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75145-F013-44F3-B98F-AA0F434FA51F}">
  <dimension ref="A1"/>
  <sheetViews>
    <sheetView zoomScale="71" workbookViewId="0">
      <selection activeCell="K25" sqref="K25"/>
    </sheetView>
  </sheetViews>
  <sheetFormatPr defaultRowHeight="14.4" x14ac:dyDescent="0.3"/>
  <cols>
    <col min="1" max="1" width="8.88671875" customWidth="1"/>
  </cols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FA16-2C3B-486F-B536-700FDB7B4F20}">
  <dimension ref="A3:E15"/>
  <sheetViews>
    <sheetView zoomScale="29" workbookViewId="0">
      <selection activeCell="F18" sqref="F18"/>
    </sheetView>
  </sheetViews>
  <sheetFormatPr defaultRowHeight="14.4" x14ac:dyDescent="0.3"/>
  <cols>
    <col min="1" max="1" width="17.5546875" bestFit="1" customWidth="1"/>
    <col min="2" max="3" width="16.6640625" bestFit="1" customWidth="1"/>
    <col min="5" max="5" width="55.44140625" customWidth="1"/>
  </cols>
  <sheetData>
    <row r="3" spans="1:5" x14ac:dyDescent="0.3">
      <c r="A3" s="24" t="s">
        <v>514</v>
      </c>
      <c r="B3" t="s">
        <v>554</v>
      </c>
      <c r="C3" t="s">
        <v>555</v>
      </c>
      <c r="E3" s="65"/>
    </row>
    <row r="4" spans="1:5" x14ac:dyDescent="0.3">
      <c r="A4" s="25" t="s">
        <v>29</v>
      </c>
      <c r="B4">
        <v>25</v>
      </c>
      <c r="C4">
        <v>25</v>
      </c>
      <c r="E4" s="65"/>
    </row>
    <row r="5" spans="1:5" x14ac:dyDescent="0.3">
      <c r="A5" s="25" t="s">
        <v>35</v>
      </c>
      <c r="B5">
        <v>51</v>
      </c>
      <c r="C5">
        <v>51</v>
      </c>
      <c r="E5" s="65"/>
    </row>
    <row r="6" spans="1:5" x14ac:dyDescent="0.3">
      <c r="A6" s="25" t="s">
        <v>44</v>
      </c>
      <c r="B6">
        <v>34</v>
      </c>
      <c r="C6">
        <v>34</v>
      </c>
      <c r="E6" s="65"/>
    </row>
    <row r="7" spans="1:5" x14ac:dyDescent="0.3">
      <c r="A7" s="25" t="s">
        <v>48</v>
      </c>
      <c r="B7">
        <v>37</v>
      </c>
      <c r="C7">
        <v>37</v>
      </c>
      <c r="E7" s="65"/>
    </row>
    <row r="8" spans="1:5" x14ac:dyDescent="0.3">
      <c r="A8" s="25" t="s">
        <v>17</v>
      </c>
      <c r="B8">
        <v>25</v>
      </c>
      <c r="C8">
        <v>25</v>
      </c>
      <c r="E8" s="65"/>
    </row>
    <row r="9" spans="1:5" x14ac:dyDescent="0.3">
      <c r="A9" s="25" t="s">
        <v>55</v>
      </c>
      <c r="B9">
        <v>29</v>
      </c>
      <c r="C9">
        <v>29</v>
      </c>
      <c r="E9" s="65"/>
    </row>
    <row r="10" spans="1:5" x14ac:dyDescent="0.3">
      <c r="A10" s="25" t="s">
        <v>78</v>
      </c>
      <c r="B10">
        <v>25</v>
      </c>
      <c r="C10">
        <v>25</v>
      </c>
      <c r="E10" s="65"/>
    </row>
    <row r="11" spans="1:5" x14ac:dyDescent="0.3">
      <c r="A11" s="25" t="s">
        <v>22</v>
      </c>
      <c r="B11">
        <v>28</v>
      </c>
      <c r="C11">
        <v>28</v>
      </c>
    </row>
    <row r="12" spans="1:5" x14ac:dyDescent="0.3">
      <c r="A12" s="25" t="s">
        <v>93</v>
      </c>
      <c r="C12">
        <v>17</v>
      </c>
    </row>
    <row r="13" spans="1:5" x14ac:dyDescent="0.3">
      <c r="A13" s="25" t="s">
        <v>40</v>
      </c>
      <c r="C13">
        <v>16</v>
      </c>
    </row>
    <row r="14" spans="1:5" x14ac:dyDescent="0.3">
      <c r="A14" s="25" t="s">
        <v>177</v>
      </c>
      <c r="B14">
        <v>13</v>
      </c>
      <c r="C14">
        <v>13</v>
      </c>
    </row>
    <row r="15" spans="1:5" x14ac:dyDescent="0.3">
      <c r="A15" s="25" t="s">
        <v>516</v>
      </c>
      <c r="B15">
        <v>267</v>
      </c>
      <c r="C15">
        <v>300</v>
      </c>
    </row>
  </sheetData>
  <sortState xmlns:xlrd2="http://schemas.microsoft.com/office/spreadsheetml/2017/richdata2" columnSort="1" ref="A3:C16">
    <sortCondition descending="1" ref="B3"/>
  </sortState>
  <mergeCells count="1">
    <mergeCell ref="E3:E10"/>
  </mergeCells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6F8C-6985-4C31-8EF2-0D43677EE688}">
  <dimension ref="A3:H15"/>
  <sheetViews>
    <sheetView zoomScale="15" workbookViewId="0">
      <selection activeCell="H19" sqref="H19"/>
    </sheetView>
  </sheetViews>
  <sheetFormatPr defaultRowHeight="14.4" x14ac:dyDescent="0.3"/>
  <cols>
    <col min="1" max="1" width="17.5546875" bestFit="1" customWidth="1"/>
    <col min="2" max="3" width="16.6640625" bestFit="1" customWidth="1"/>
    <col min="4" max="4" width="14.77734375" bestFit="1" customWidth="1"/>
    <col min="5" max="5" width="25.77734375" bestFit="1" customWidth="1"/>
    <col min="6" max="6" width="15.33203125" bestFit="1" customWidth="1"/>
    <col min="8" max="8" width="57.5546875" customWidth="1"/>
  </cols>
  <sheetData>
    <row r="3" spans="1:8" x14ac:dyDescent="0.3">
      <c r="A3" s="24" t="s">
        <v>514</v>
      </c>
      <c r="B3" t="s">
        <v>554</v>
      </c>
      <c r="C3" t="s">
        <v>555</v>
      </c>
      <c r="D3" t="s">
        <v>557</v>
      </c>
      <c r="E3" t="s">
        <v>556</v>
      </c>
      <c r="F3" t="s">
        <v>525</v>
      </c>
    </row>
    <row r="4" spans="1:8" x14ac:dyDescent="0.3">
      <c r="A4" s="25" t="s">
        <v>29</v>
      </c>
      <c r="B4">
        <v>25</v>
      </c>
      <c r="C4">
        <v>25</v>
      </c>
      <c r="D4" s="27">
        <v>13327.8</v>
      </c>
      <c r="E4" s="56">
        <v>11.135741315150902</v>
      </c>
      <c r="F4" s="28">
        <v>1592.72</v>
      </c>
    </row>
    <row r="5" spans="1:8" x14ac:dyDescent="0.3">
      <c r="A5" s="25" t="s">
        <v>35</v>
      </c>
      <c r="B5">
        <v>51</v>
      </c>
      <c r="C5">
        <v>51</v>
      </c>
      <c r="D5" s="27">
        <v>13787.058823529413</v>
      </c>
      <c r="E5" s="56">
        <v>12.077082795204698</v>
      </c>
      <c r="F5" s="28">
        <v>1541.3725490196077</v>
      </c>
      <c r="H5" s="65"/>
    </row>
    <row r="6" spans="1:8" x14ac:dyDescent="0.3">
      <c r="A6" s="25" t="s">
        <v>44</v>
      </c>
      <c r="B6">
        <v>34</v>
      </c>
      <c r="C6">
        <v>34</v>
      </c>
      <c r="D6" s="27">
        <v>13437.176470588236</v>
      </c>
      <c r="E6" s="56">
        <v>13.494947381413457</v>
      </c>
      <c r="F6" s="28">
        <v>1463.2941176470588</v>
      </c>
      <c r="H6" s="65"/>
    </row>
    <row r="7" spans="1:8" x14ac:dyDescent="0.3">
      <c r="A7" s="25" t="s">
        <v>48</v>
      </c>
      <c r="B7">
        <v>37</v>
      </c>
      <c r="C7">
        <v>37</v>
      </c>
      <c r="D7" s="27">
        <v>13986.108108108108</v>
      </c>
      <c r="E7" s="56">
        <v>11.399721676928392</v>
      </c>
      <c r="F7" s="28">
        <v>1711.5135135135135</v>
      </c>
      <c r="H7" s="65"/>
    </row>
    <row r="8" spans="1:8" x14ac:dyDescent="0.3">
      <c r="A8" s="25" t="s">
        <v>17</v>
      </c>
      <c r="B8">
        <v>25</v>
      </c>
      <c r="C8">
        <v>25</v>
      </c>
      <c r="D8" s="27">
        <v>13057.88</v>
      </c>
      <c r="E8" s="56">
        <v>14.380411271271718</v>
      </c>
      <c r="F8" s="28">
        <v>1674.96</v>
      </c>
      <c r="H8" s="65"/>
    </row>
    <row r="9" spans="1:8" x14ac:dyDescent="0.3">
      <c r="A9" s="25" t="s">
        <v>55</v>
      </c>
      <c r="B9">
        <v>29</v>
      </c>
      <c r="C9">
        <v>29</v>
      </c>
      <c r="D9" s="27">
        <v>15420.51724137931</v>
      </c>
      <c r="E9" s="56">
        <v>11.456579865607178</v>
      </c>
      <c r="F9" s="28">
        <v>1811.3103448275863</v>
      </c>
      <c r="H9" s="65"/>
    </row>
    <row r="10" spans="1:8" x14ac:dyDescent="0.3">
      <c r="A10" s="25" t="s">
        <v>78</v>
      </c>
      <c r="B10">
        <v>25</v>
      </c>
      <c r="C10">
        <v>25</v>
      </c>
      <c r="D10" s="27">
        <v>13856.76</v>
      </c>
      <c r="E10" s="56">
        <v>12.026676773989802</v>
      </c>
      <c r="F10" s="28">
        <v>1706.76</v>
      </c>
      <c r="H10" s="65"/>
    </row>
    <row r="11" spans="1:8" x14ac:dyDescent="0.3">
      <c r="A11" s="25" t="s">
        <v>22</v>
      </c>
      <c r="B11">
        <v>28</v>
      </c>
      <c r="C11">
        <v>28</v>
      </c>
      <c r="D11" s="27">
        <v>13015.321428571429</v>
      </c>
      <c r="E11" s="56">
        <v>11.789410371289012</v>
      </c>
      <c r="F11" s="28">
        <v>1680.3571428571429</v>
      </c>
      <c r="H11" s="65"/>
    </row>
    <row r="12" spans="1:8" x14ac:dyDescent="0.3">
      <c r="A12" s="25" t="s">
        <v>93</v>
      </c>
      <c r="C12">
        <v>17</v>
      </c>
      <c r="D12" s="27">
        <v>12777.235294117647</v>
      </c>
      <c r="E12" s="56">
        <v>10.955527128571873</v>
      </c>
      <c r="F12" s="28">
        <v>1289.4117647058824</v>
      </c>
      <c r="H12" s="65"/>
    </row>
    <row r="13" spans="1:8" x14ac:dyDescent="0.3">
      <c r="A13" s="25" t="s">
        <v>40</v>
      </c>
      <c r="C13">
        <v>16</v>
      </c>
      <c r="D13" s="27">
        <v>14377.6875</v>
      </c>
      <c r="E13" s="56">
        <v>15.329917321810049</v>
      </c>
      <c r="F13" s="28">
        <v>1592.9375</v>
      </c>
    </row>
    <row r="14" spans="1:8" x14ac:dyDescent="0.3">
      <c r="A14" s="25" t="s">
        <v>177</v>
      </c>
      <c r="B14">
        <v>13</v>
      </c>
      <c r="C14">
        <v>13</v>
      </c>
      <c r="D14" s="27">
        <v>9616.3076923076915</v>
      </c>
      <c r="E14" s="56">
        <v>12.01946224579526</v>
      </c>
      <c r="F14" s="28">
        <v>1459.3076923076924</v>
      </c>
    </row>
    <row r="15" spans="1:8" x14ac:dyDescent="0.3">
      <c r="A15" s="25" t="s">
        <v>516</v>
      </c>
      <c r="B15">
        <v>267</v>
      </c>
      <c r="C15">
        <v>300</v>
      </c>
      <c r="D15" s="27">
        <v>13558.143333333333</v>
      </c>
      <c r="E15" s="56">
        <v>12.284132745362925</v>
      </c>
      <c r="F15" s="28">
        <v>1606.6833333333334</v>
      </c>
    </row>
  </sheetData>
  <sortState xmlns:xlrd2="http://schemas.microsoft.com/office/spreadsheetml/2017/richdata2" columnSort="1" ref="A3:F15">
    <sortCondition descending="1" ref="B3"/>
  </sortState>
  <mergeCells count="1">
    <mergeCell ref="H5:H12"/>
  </mergeCells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1DE4-2142-40D3-B9FF-B99A4800CA5A}">
  <dimension ref="A3:J23"/>
  <sheetViews>
    <sheetView zoomScale="33" workbookViewId="0">
      <selection activeCell="K10" sqref="K10"/>
    </sheetView>
  </sheetViews>
  <sheetFormatPr defaultRowHeight="14.4" x14ac:dyDescent="0.3"/>
  <cols>
    <col min="1" max="1" width="25.77734375" bestFit="1" customWidth="1"/>
    <col min="2" max="2" width="15.5546875" bestFit="1" customWidth="1"/>
    <col min="3" max="3" width="6.21875" bestFit="1" customWidth="1"/>
    <col min="4" max="4" width="6.109375" bestFit="1" customWidth="1"/>
    <col min="5" max="5" width="5.88671875" bestFit="1" customWidth="1"/>
    <col min="6" max="6" width="10.77734375" bestFit="1" customWidth="1"/>
    <col min="8" max="8" width="15.21875" customWidth="1"/>
    <col min="9" max="9" width="26.21875" customWidth="1"/>
  </cols>
  <sheetData>
    <row r="3" spans="1:10" x14ac:dyDescent="0.3">
      <c r="A3" s="24" t="s">
        <v>556</v>
      </c>
      <c r="B3" s="24" t="s">
        <v>517</v>
      </c>
      <c r="H3" s="24" t="s">
        <v>514</v>
      </c>
      <c r="I3" t="s">
        <v>556</v>
      </c>
    </row>
    <row r="4" spans="1:10" x14ac:dyDescent="0.3">
      <c r="A4" s="24" t="s">
        <v>514</v>
      </c>
      <c r="B4" t="s">
        <v>43</v>
      </c>
      <c r="C4" t="s">
        <v>16</v>
      </c>
      <c r="D4" t="s">
        <v>28</v>
      </c>
      <c r="E4" t="s">
        <v>34</v>
      </c>
      <c r="F4" t="s">
        <v>516</v>
      </c>
      <c r="H4" s="25" t="s">
        <v>34</v>
      </c>
      <c r="I4" s="56">
        <v>13.92922338558364</v>
      </c>
    </row>
    <row r="5" spans="1:10" x14ac:dyDescent="0.3">
      <c r="A5" s="25" t="s">
        <v>53</v>
      </c>
      <c r="B5" s="56">
        <v>14.091680204500332</v>
      </c>
      <c r="C5" s="56">
        <v>17.975388136910837</v>
      </c>
      <c r="D5" s="56">
        <v>11.713180549394096</v>
      </c>
      <c r="E5" s="56">
        <v>13.691273815057555</v>
      </c>
      <c r="F5" s="56">
        <v>13.887772583296524</v>
      </c>
      <c r="H5" s="25" t="s">
        <v>43</v>
      </c>
      <c r="I5" s="56">
        <v>12.254707352578754</v>
      </c>
    </row>
    <row r="6" spans="1:10" x14ac:dyDescent="0.3">
      <c r="A6" s="25" t="s">
        <v>26</v>
      </c>
      <c r="B6" s="56">
        <v>12.626867837762662</v>
      </c>
      <c r="C6" s="56">
        <v>9.2172752818428556</v>
      </c>
      <c r="D6" s="56">
        <v>11.659260556854056</v>
      </c>
      <c r="E6" s="56">
        <v>13.793089888284413</v>
      </c>
      <c r="F6" s="56">
        <v>11.777135601638935</v>
      </c>
      <c r="H6" s="25" t="s">
        <v>16</v>
      </c>
      <c r="I6" s="56">
        <v>11.546428615108939</v>
      </c>
    </row>
    <row r="7" spans="1:10" x14ac:dyDescent="0.3">
      <c r="A7" s="25" t="s">
        <v>14</v>
      </c>
      <c r="B7" s="56">
        <v>11.103450031278514</v>
      </c>
      <c r="C7" s="56">
        <v>9.9139643510424627</v>
      </c>
      <c r="D7" s="56">
        <v>10.728025526664826</v>
      </c>
      <c r="E7" s="56">
        <v>12.680050433792736</v>
      </c>
      <c r="F7" s="56">
        <v>11.218828039990527</v>
      </c>
      <c r="H7" s="25" t="s">
        <v>28</v>
      </c>
      <c r="I7" s="56">
        <v>11.357604941562139</v>
      </c>
    </row>
    <row r="8" spans="1:10" x14ac:dyDescent="0.3">
      <c r="A8" s="25" t="s">
        <v>21</v>
      </c>
      <c r="B8" s="56">
        <v>10.838774896938707</v>
      </c>
      <c r="C8" s="56">
        <v>12.096820070529857</v>
      </c>
      <c r="D8" s="56">
        <v>11.345902566977944</v>
      </c>
      <c r="E8" s="56">
        <v>15.713453663338479</v>
      </c>
      <c r="F8" s="56">
        <v>12.413746843755114</v>
      </c>
      <c r="H8" s="25" t="s">
        <v>516</v>
      </c>
      <c r="I8" s="56">
        <v>12.284132745362932</v>
      </c>
    </row>
    <row r="9" spans="1:10" x14ac:dyDescent="0.3">
      <c r="A9" s="25" t="s">
        <v>516</v>
      </c>
      <c r="B9" s="56">
        <v>12.254707352578754</v>
      </c>
      <c r="C9" s="56">
        <v>11.546428615108935</v>
      </c>
      <c r="D9" s="56">
        <v>11.357604941562137</v>
      </c>
      <c r="E9" s="56">
        <v>13.929223385583644</v>
      </c>
      <c r="F9" s="56">
        <v>12.284132745362932</v>
      </c>
    </row>
    <row r="14" spans="1:10" x14ac:dyDescent="0.3">
      <c r="H14" s="65"/>
      <c r="I14" s="65"/>
      <c r="J14" s="65"/>
    </row>
    <row r="15" spans="1:10" x14ac:dyDescent="0.3">
      <c r="H15" s="65"/>
      <c r="I15" s="65"/>
      <c r="J15" s="65"/>
    </row>
    <row r="16" spans="1:10" x14ac:dyDescent="0.3">
      <c r="H16" s="65"/>
      <c r="I16" s="65"/>
      <c r="J16" s="65"/>
    </row>
    <row r="17" spans="8:10" x14ac:dyDescent="0.3">
      <c r="H17" s="65"/>
      <c r="I17" s="65"/>
      <c r="J17" s="65"/>
    </row>
    <row r="18" spans="8:10" x14ac:dyDescent="0.3">
      <c r="H18" s="65"/>
      <c r="I18" s="65"/>
      <c r="J18" s="65"/>
    </row>
    <row r="19" spans="8:10" x14ac:dyDescent="0.3">
      <c r="H19" s="65"/>
      <c r="I19" s="65"/>
      <c r="J19" s="65"/>
    </row>
    <row r="20" spans="8:10" x14ac:dyDescent="0.3">
      <c r="H20" s="65"/>
      <c r="I20" s="65"/>
      <c r="J20" s="65"/>
    </row>
    <row r="21" spans="8:10" x14ac:dyDescent="0.3">
      <c r="H21" s="65"/>
      <c r="I21" s="65"/>
      <c r="J21" s="65"/>
    </row>
    <row r="22" spans="8:10" x14ac:dyDescent="0.3">
      <c r="H22" s="65"/>
      <c r="I22" s="65"/>
      <c r="J22" s="65"/>
    </row>
    <row r="23" spans="8:10" x14ac:dyDescent="0.3">
      <c r="H23" s="65"/>
      <c r="I23" s="65"/>
      <c r="J23" s="65"/>
    </row>
  </sheetData>
  <mergeCells count="1">
    <mergeCell ref="H14:J23"/>
  </mergeCell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9FFA-C916-4F10-AA8C-F80C4BB647EF}">
  <dimension ref="A1:G9"/>
  <sheetViews>
    <sheetView zoomScale="33" workbookViewId="0">
      <selection activeCell="H21" sqref="H21"/>
    </sheetView>
  </sheetViews>
  <sheetFormatPr defaultRowHeight="14.4" x14ac:dyDescent="0.3"/>
  <cols>
    <col min="1" max="1" width="26" bestFit="1" customWidth="1"/>
    <col min="2" max="2" width="17.6640625" bestFit="1" customWidth="1"/>
    <col min="3" max="3" width="11.5546875" bestFit="1" customWidth="1"/>
    <col min="4" max="4" width="12.109375" bestFit="1" customWidth="1"/>
    <col min="5" max="5" width="20.77734375" bestFit="1" customWidth="1"/>
    <col min="6" max="6" width="14.77734375" bestFit="1" customWidth="1"/>
    <col min="7" max="7" width="15.33203125" bestFit="1" customWidth="1"/>
  </cols>
  <sheetData>
    <row r="1" spans="1:7" x14ac:dyDescent="0.3">
      <c r="A1" s="65"/>
      <c r="B1" s="65"/>
      <c r="C1" s="65"/>
      <c r="D1" s="65"/>
      <c r="E1" s="65"/>
      <c r="F1" s="65"/>
      <c r="G1" s="65"/>
    </row>
    <row r="2" spans="1:7" x14ac:dyDescent="0.3">
      <c r="A2" s="65"/>
      <c r="B2" s="65"/>
      <c r="C2" s="65"/>
      <c r="D2" s="65"/>
      <c r="E2" s="65"/>
      <c r="F2" s="65"/>
      <c r="G2" s="65"/>
    </row>
    <row r="3" spans="1:7" x14ac:dyDescent="0.3">
      <c r="A3" s="24" t="s">
        <v>514</v>
      </c>
      <c r="B3" t="s">
        <v>558</v>
      </c>
      <c r="C3" t="s">
        <v>518</v>
      </c>
      <c r="D3" t="s">
        <v>524</v>
      </c>
      <c r="E3" t="s">
        <v>559</v>
      </c>
      <c r="F3" t="s">
        <v>557</v>
      </c>
      <c r="G3" t="s">
        <v>525</v>
      </c>
    </row>
    <row r="4" spans="1:7" x14ac:dyDescent="0.3">
      <c r="A4" s="25" t="s">
        <v>24</v>
      </c>
      <c r="B4" s="28">
        <v>10331022</v>
      </c>
      <c r="C4" s="27">
        <v>957050</v>
      </c>
      <c r="D4" s="28">
        <v>114854</v>
      </c>
      <c r="E4" s="28">
        <v>149724.95652173914</v>
      </c>
      <c r="F4" s="27">
        <v>13870.289855072464</v>
      </c>
      <c r="G4" s="28">
        <v>1664.5507246376812</v>
      </c>
    </row>
    <row r="5" spans="1:7" x14ac:dyDescent="0.3">
      <c r="A5" s="25" t="s">
        <v>19</v>
      </c>
      <c r="B5" s="28">
        <v>9407749</v>
      </c>
      <c r="C5" s="27">
        <v>888529</v>
      </c>
      <c r="D5" s="28">
        <v>106775</v>
      </c>
      <c r="E5" s="28">
        <v>136344.18840579709</v>
      </c>
      <c r="F5" s="27">
        <v>12877.231884057972</v>
      </c>
      <c r="G5" s="28">
        <v>1547.463768115942</v>
      </c>
    </row>
    <row r="6" spans="1:7" x14ac:dyDescent="0.3">
      <c r="A6" s="25" t="s">
        <v>37</v>
      </c>
      <c r="B6" s="28">
        <v>8901334</v>
      </c>
      <c r="C6" s="27">
        <v>843431</v>
      </c>
      <c r="D6" s="28">
        <v>96543</v>
      </c>
      <c r="E6" s="28">
        <v>150870.06779661018</v>
      </c>
      <c r="F6" s="27">
        <v>14295.440677966102</v>
      </c>
      <c r="G6" s="28">
        <v>1636.3220338983051</v>
      </c>
    </row>
    <row r="7" spans="1:7" x14ac:dyDescent="0.3">
      <c r="A7" s="25" t="s">
        <v>63</v>
      </c>
      <c r="B7" s="28">
        <v>6698763</v>
      </c>
      <c r="C7" s="27">
        <v>585970</v>
      </c>
      <c r="D7" s="28">
        <v>74667</v>
      </c>
      <c r="E7" s="28">
        <v>145625.28260869565</v>
      </c>
      <c r="F7" s="27">
        <v>12738.478260869566</v>
      </c>
      <c r="G7" s="28">
        <v>1623.195652173913</v>
      </c>
    </row>
    <row r="8" spans="1:7" x14ac:dyDescent="0.3">
      <c r="A8" s="25" t="s">
        <v>31</v>
      </c>
      <c r="B8" s="28">
        <v>9222999</v>
      </c>
      <c r="C8" s="27">
        <v>792463</v>
      </c>
      <c r="D8" s="28">
        <v>89166</v>
      </c>
      <c r="E8" s="28">
        <v>161807</v>
      </c>
      <c r="F8" s="27">
        <v>13902.859649122807</v>
      </c>
      <c r="G8" s="28">
        <v>1564.3157894736842</v>
      </c>
    </row>
    <row r="9" spans="1:7" x14ac:dyDescent="0.3">
      <c r="A9" s="25" t="s">
        <v>516</v>
      </c>
      <c r="B9" s="28">
        <v>44561867</v>
      </c>
      <c r="C9" s="27">
        <v>4067443</v>
      </c>
      <c r="D9" s="28">
        <v>482005</v>
      </c>
      <c r="E9" s="28">
        <v>148539.55666666667</v>
      </c>
      <c r="F9" s="27">
        <v>13558.143333333333</v>
      </c>
      <c r="G9" s="28">
        <v>1606.6833333333334</v>
      </c>
    </row>
  </sheetData>
  <mergeCells count="1">
    <mergeCell ref="A1:G2"/>
  </mergeCells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22B07-7077-479E-9ACC-1F49936C9866}">
  <dimension ref="A1:J1000"/>
  <sheetViews>
    <sheetView zoomScale="29" zoomScaleNormal="100" workbookViewId="0">
      <selection activeCell="J28" sqref="J28"/>
    </sheetView>
  </sheetViews>
  <sheetFormatPr defaultColWidth="14.44140625" defaultRowHeight="14.4" x14ac:dyDescent="0.3"/>
  <cols>
    <col min="1" max="1" width="30.33203125" style="23" customWidth="1"/>
    <col min="2" max="2" width="19.44140625" style="23" customWidth="1"/>
    <col min="3" max="3" width="25.88671875" style="23" customWidth="1"/>
    <col min="4" max="4" width="16.88671875" style="23" customWidth="1"/>
    <col min="5" max="6" width="23.33203125" style="23" customWidth="1"/>
    <col min="7" max="7" width="21.5546875" style="23" customWidth="1"/>
    <col min="8" max="8" width="24.5546875" style="23" customWidth="1"/>
    <col min="9" max="9" width="38.5546875" style="23" customWidth="1"/>
    <col min="10" max="10" width="40.6640625" style="23" customWidth="1"/>
    <col min="11" max="27" width="8.6640625" style="23" customWidth="1"/>
    <col min="28" max="16384" width="14.44140625" style="23"/>
  </cols>
  <sheetData>
    <row r="1" spans="1:10" ht="14.25" customHeight="1" x14ac:dyDescent="0.3">
      <c r="A1" s="12" t="s">
        <v>526</v>
      </c>
      <c r="B1" s="12" t="s">
        <v>1</v>
      </c>
      <c r="C1" s="12" t="s">
        <v>527</v>
      </c>
      <c r="D1" s="12" t="s">
        <v>528</v>
      </c>
      <c r="E1" s="12" t="s">
        <v>529</v>
      </c>
      <c r="F1" s="12" t="s">
        <v>551</v>
      </c>
      <c r="G1" s="12" t="s">
        <v>530</v>
      </c>
      <c r="H1" s="12" t="s">
        <v>531</v>
      </c>
      <c r="I1" s="12" t="s">
        <v>575</v>
      </c>
    </row>
    <row r="2" spans="1:10" ht="14.25" customHeight="1" x14ac:dyDescent="0.3">
      <c r="A2" s="40" t="s">
        <v>197</v>
      </c>
      <c r="B2" s="41" t="s">
        <v>26</v>
      </c>
      <c r="C2" s="42">
        <v>4138</v>
      </c>
      <c r="D2" s="42">
        <v>361</v>
      </c>
      <c r="E2" s="42">
        <v>103777</v>
      </c>
      <c r="F2" s="43">
        <f>(C2-D2)/E2</f>
        <v>3.6395347716738774E-2</v>
      </c>
      <c r="G2" s="60">
        <v>56.637790647253247</v>
      </c>
      <c r="H2" s="44">
        <v>23944</v>
      </c>
      <c r="I2" s="60" t="s">
        <v>577</v>
      </c>
    </row>
    <row r="3" spans="1:10" ht="14.25" customHeight="1" x14ac:dyDescent="0.3">
      <c r="A3" s="40" t="s">
        <v>197</v>
      </c>
      <c r="B3" s="41" t="s">
        <v>53</v>
      </c>
      <c r="C3" s="42">
        <v>8693</v>
      </c>
      <c r="D3" s="42">
        <v>1261</v>
      </c>
      <c r="E3" s="42">
        <v>111209</v>
      </c>
      <c r="F3" s="43">
        <f t="shared" ref="F3:F67" si="0">(C3-D3)/E3</f>
        <v>6.6829123542159363E-2</v>
      </c>
      <c r="G3" s="60">
        <v>69.475492091467416</v>
      </c>
      <c r="H3" s="44">
        <v>29873</v>
      </c>
      <c r="I3" s="60" t="s">
        <v>577</v>
      </c>
    </row>
    <row r="4" spans="1:10" ht="14.25" customHeight="1" x14ac:dyDescent="0.3">
      <c r="A4" s="40" t="s">
        <v>197</v>
      </c>
      <c r="B4" s="41" t="s">
        <v>14</v>
      </c>
      <c r="C4" s="42">
        <v>9264</v>
      </c>
      <c r="D4" s="42">
        <v>1141</v>
      </c>
      <c r="E4" s="42">
        <v>119332</v>
      </c>
      <c r="F4" s="43">
        <f t="shared" si="0"/>
        <v>6.8070592967519189E-2</v>
      </c>
      <c r="G4" s="60">
        <v>92.312204605638044</v>
      </c>
      <c r="H4" s="44">
        <v>50372</v>
      </c>
      <c r="I4" s="60" t="s">
        <v>577</v>
      </c>
    </row>
    <row r="5" spans="1:10" ht="14.25" customHeight="1" x14ac:dyDescent="0.3">
      <c r="A5" s="40" t="s">
        <v>210</v>
      </c>
      <c r="B5" s="41" t="s">
        <v>26</v>
      </c>
      <c r="C5" s="42">
        <v>7721</v>
      </c>
      <c r="D5" s="42">
        <v>506</v>
      </c>
      <c r="E5" s="42">
        <v>134418</v>
      </c>
      <c r="F5" s="43">
        <f t="shared" si="0"/>
        <v>5.3675846984778827E-2</v>
      </c>
      <c r="G5" s="60">
        <v>35.577824398518047</v>
      </c>
      <c r="H5" s="44">
        <v>25379</v>
      </c>
      <c r="I5" s="60" t="s">
        <v>577</v>
      </c>
    </row>
    <row r="6" spans="1:10" ht="14.25" customHeight="1" x14ac:dyDescent="0.3">
      <c r="A6" s="40" t="s">
        <v>210</v>
      </c>
      <c r="B6" s="41" t="s">
        <v>14</v>
      </c>
      <c r="C6" s="42">
        <v>8002</v>
      </c>
      <c r="D6" s="42">
        <v>524</v>
      </c>
      <c r="E6" s="42">
        <v>141896</v>
      </c>
      <c r="F6" s="43">
        <f t="shared" si="0"/>
        <v>5.270056943113266E-2</v>
      </c>
      <c r="G6" s="60">
        <v>52.064892597395271</v>
      </c>
      <c r="H6" s="44">
        <v>46751</v>
      </c>
      <c r="I6" s="60" t="s">
        <v>577</v>
      </c>
    </row>
    <row r="7" spans="1:10" ht="14.25" customHeight="1" x14ac:dyDescent="0.3">
      <c r="A7" s="40" t="s">
        <v>210</v>
      </c>
      <c r="B7" s="41" t="s">
        <v>53</v>
      </c>
      <c r="C7" s="42">
        <v>5225</v>
      </c>
      <c r="D7" s="42">
        <v>291</v>
      </c>
      <c r="E7" s="42">
        <v>146830</v>
      </c>
      <c r="F7" s="43">
        <f t="shared" si="0"/>
        <v>3.3603487025812166E-2</v>
      </c>
      <c r="G7" s="60">
        <v>19.551862698358651</v>
      </c>
      <c r="H7" s="44">
        <v>44546</v>
      </c>
      <c r="I7" s="60" t="s">
        <v>577</v>
      </c>
    </row>
    <row r="8" spans="1:10" ht="14.25" customHeight="1" x14ac:dyDescent="0.3">
      <c r="A8" s="40" t="s">
        <v>134</v>
      </c>
      <c r="B8" s="41" t="s">
        <v>26</v>
      </c>
      <c r="C8" s="42">
        <v>8373</v>
      </c>
      <c r="D8" s="42">
        <v>921</v>
      </c>
      <c r="E8" s="42">
        <v>157717</v>
      </c>
      <c r="F8" s="43">
        <f t="shared" si="0"/>
        <v>4.7249186834646864E-2</v>
      </c>
      <c r="G8" s="60">
        <v>12.2263294381709</v>
      </c>
      <c r="H8" s="44">
        <v>15110</v>
      </c>
      <c r="I8" s="60" t="s">
        <v>576</v>
      </c>
      <c r="J8" s="65"/>
    </row>
    <row r="9" spans="1:10" ht="14.25" customHeight="1" x14ac:dyDescent="0.3">
      <c r="A9" s="40" t="s">
        <v>134</v>
      </c>
      <c r="B9" s="41" t="s">
        <v>53</v>
      </c>
      <c r="C9" s="42">
        <v>6907</v>
      </c>
      <c r="D9" s="42">
        <v>834</v>
      </c>
      <c r="E9" s="42">
        <v>163790</v>
      </c>
      <c r="F9" s="43">
        <f t="shared" si="0"/>
        <v>3.7077965687770928E-2</v>
      </c>
      <c r="G9" s="60">
        <v>54.158984064961238</v>
      </c>
      <c r="H9" s="44">
        <v>22087</v>
      </c>
      <c r="I9" s="60" t="s">
        <v>576</v>
      </c>
      <c r="J9" s="65"/>
    </row>
    <row r="10" spans="1:10" ht="14.25" customHeight="1" x14ac:dyDescent="0.3">
      <c r="A10" s="40" t="s">
        <v>134</v>
      </c>
      <c r="B10" s="41" t="s">
        <v>21</v>
      </c>
      <c r="C10" s="42">
        <v>7097</v>
      </c>
      <c r="D10" s="42">
        <v>369</v>
      </c>
      <c r="E10" s="42">
        <v>170518</v>
      </c>
      <c r="F10" s="43">
        <f t="shared" si="0"/>
        <v>3.9456245088495059E-2</v>
      </c>
      <c r="G10" s="60">
        <v>9.2506362964613711</v>
      </c>
      <c r="H10" s="44">
        <v>33762</v>
      </c>
      <c r="I10" s="60" t="s">
        <v>576</v>
      </c>
      <c r="J10" s="65"/>
    </row>
    <row r="11" spans="1:10" ht="14.25" customHeight="1" x14ac:dyDescent="0.3">
      <c r="A11" s="40" t="s">
        <v>42</v>
      </c>
      <c r="B11" s="41" t="s">
        <v>53</v>
      </c>
      <c r="C11" s="42">
        <v>9984</v>
      </c>
      <c r="D11" s="42">
        <v>1330</v>
      </c>
      <c r="E11" s="42">
        <v>184850</v>
      </c>
      <c r="F11" s="43">
        <f t="shared" si="0"/>
        <v>4.6816337571003515E-2</v>
      </c>
      <c r="G11" s="60">
        <v>57.524479307546663</v>
      </c>
      <c r="H11" s="44">
        <v>44947</v>
      </c>
      <c r="I11" s="60" t="s">
        <v>576</v>
      </c>
      <c r="J11" s="65"/>
    </row>
    <row r="12" spans="1:10" ht="14.25" customHeight="1" x14ac:dyDescent="0.3">
      <c r="A12" s="40" t="s">
        <v>42</v>
      </c>
      <c r="B12" s="41" t="s">
        <v>26</v>
      </c>
      <c r="C12" s="42">
        <v>5259</v>
      </c>
      <c r="D12" s="42">
        <v>374</v>
      </c>
      <c r="E12" s="42">
        <v>189735</v>
      </c>
      <c r="F12" s="43">
        <f t="shared" si="0"/>
        <v>2.5746435818378266E-2</v>
      </c>
      <c r="G12" s="60">
        <v>14.827522597306769</v>
      </c>
      <c r="H12" s="44">
        <v>19596</v>
      </c>
      <c r="I12" s="60" t="s">
        <v>576</v>
      </c>
      <c r="J12" s="65"/>
    </row>
    <row r="13" spans="1:10" ht="14.25" customHeight="1" x14ac:dyDescent="0.3">
      <c r="A13" s="40" t="s">
        <v>42</v>
      </c>
      <c r="B13" s="41" t="s">
        <v>14</v>
      </c>
      <c r="C13" s="42">
        <v>9286</v>
      </c>
      <c r="D13" s="42">
        <v>633</v>
      </c>
      <c r="E13" s="42">
        <v>198388</v>
      </c>
      <c r="F13" s="43">
        <f t="shared" si="0"/>
        <v>4.3616549388067825E-2</v>
      </c>
      <c r="G13" s="60">
        <v>5.4343004617214756</v>
      </c>
      <c r="H13" s="44">
        <v>48019</v>
      </c>
      <c r="I13" s="60" t="s">
        <v>576</v>
      </c>
      <c r="J13" s="65"/>
    </row>
    <row r="14" spans="1:10" ht="14.25" customHeight="1" x14ac:dyDescent="0.3">
      <c r="A14" s="40" t="s">
        <v>404</v>
      </c>
      <c r="B14" s="41" t="s">
        <v>21</v>
      </c>
      <c r="C14" s="42">
        <v>5917</v>
      </c>
      <c r="D14" s="42">
        <v>475</v>
      </c>
      <c r="E14" s="42">
        <v>210260</v>
      </c>
      <c r="F14" s="43">
        <f t="shared" si="0"/>
        <v>2.5882241034909159E-2</v>
      </c>
      <c r="G14" s="60">
        <v>17.894035955483691</v>
      </c>
      <c r="H14" s="44">
        <v>28313</v>
      </c>
      <c r="I14" s="60" t="s">
        <v>576</v>
      </c>
      <c r="J14" s="65"/>
    </row>
    <row r="15" spans="1:10" ht="14.25" customHeight="1" x14ac:dyDescent="0.3">
      <c r="A15" s="40" t="s">
        <v>404</v>
      </c>
      <c r="B15" s="41" t="s">
        <v>53</v>
      </c>
      <c r="C15" s="42">
        <v>9429</v>
      </c>
      <c r="D15" s="42">
        <v>966</v>
      </c>
      <c r="E15" s="42">
        <v>218723</v>
      </c>
      <c r="F15" s="43">
        <f t="shared" si="0"/>
        <v>3.8692775794040866E-2</v>
      </c>
      <c r="G15" s="60">
        <v>7.6914636320825887</v>
      </c>
      <c r="H15" s="44">
        <v>57639</v>
      </c>
      <c r="I15" s="60" t="s">
        <v>576</v>
      </c>
      <c r="J15" s="65"/>
    </row>
    <row r="16" spans="1:10" ht="14.25" customHeight="1" x14ac:dyDescent="0.3">
      <c r="A16" s="40" t="s">
        <v>404</v>
      </c>
      <c r="B16" s="41" t="s">
        <v>26</v>
      </c>
      <c r="C16" s="42">
        <v>3530</v>
      </c>
      <c r="D16" s="42">
        <v>328</v>
      </c>
      <c r="E16" s="42">
        <v>221925</v>
      </c>
      <c r="F16" s="43">
        <f t="shared" si="0"/>
        <v>1.4428297848372199E-2</v>
      </c>
      <c r="G16" s="60">
        <v>12.8372197814577</v>
      </c>
      <c r="H16" s="44">
        <v>11013</v>
      </c>
      <c r="I16" s="60" t="s">
        <v>576</v>
      </c>
      <c r="J16" s="65"/>
    </row>
    <row r="17" spans="1:10" ht="14.25" customHeight="1" x14ac:dyDescent="0.3">
      <c r="A17" s="40" t="s">
        <v>532</v>
      </c>
      <c r="B17" s="41" t="s">
        <v>53</v>
      </c>
      <c r="C17" s="42">
        <v>8045</v>
      </c>
      <c r="D17" s="42">
        <v>894</v>
      </c>
      <c r="E17" s="42">
        <v>231802</v>
      </c>
      <c r="F17" s="43">
        <f t="shared" si="0"/>
        <v>3.084960440375838E-2</v>
      </c>
      <c r="G17" s="60">
        <v>47.634187798207087</v>
      </c>
      <c r="H17" s="44">
        <v>33705</v>
      </c>
      <c r="I17" s="60" t="s">
        <v>576</v>
      </c>
      <c r="J17" s="65"/>
    </row>
    <row r="18" spans="1:10" ht="14.25" customHeight="1" x14ac:dyDescent="0.3">
      <c r="A18" s="40" t="s">
        <v>532</v>
      </c>
      <c r="B18" s="41" t="s">
        <v>21</v>
      </c>
      <c r="C18" s="42">
        <v>2048</v>
      </c>
      <c r="D18" s="42">
        <v>130</v>
      </c>
      <c r="E18" s="42">
        <v>233720</v>
      </c>
      <c r="F18" s="43">
        <f t="shared" si="0"/>
        <v>8.2064008214958063E-3</v>
      </c>
      <c r="G18" s="60">
        <v>39.284614068115687</v>
      </c>
      <c r="H18" s="44">
        <v>11828</v>
      </c>
      <c r="I18" s="60" t="s">
        <v>576</v>
      </c>
      <c r="J18" s="65"/>
    </row>
    <row r="19" spans="1:10" ht="14.25" customHeight="1" x14ac:dyDescent="0.3">
      <c r="A19" s="40" t="s">
        <v>275</v>
      </c>
      <c r="B19" s="41" t="s">
        <v>26</v>
      </c>
      <c r="C19" s="42">
        <v>3964</v>
      </c>
      <c r="D19" s="42">
        <v>378</v>
      </c>
      <c r="E19" s="42">
        <v>246766</v>
      </c>
      <c r="F19" s="43">
        <f t="shared" si="0"/>
        <v>1.453198576789347E-2</v>
      </c>
      <c r="G19" s="60">
        <v>13.6355899921383</v>
      </c>
      <c r="H19" s="44">
        <v>23109</v>
      </c>
      <c r="I19" s="60" t="s">
        <v>576</v>
      </c>
      <c r="J19" s="65"/>
    </row>
    <row r="20" spans="1:10" ht="14.25" customHeight="1" x14ac:dyDescent="0.3">
      <c r="A20" s="40" t="s">
        <v>275</v>
      </c>
      <c r="B20" s="41" t="s">
        <v>53</v>
      </c>
      <c r="C20" s="42">
        <v>8137</v>
      </c>
      <c r="D20" s="42">
        <v>1045</v>
      </c>
      <c r="E20" s="42">
        <v>253858</v>
      </c>
      <c r="F20" s="43">
        <f t="shared" si="0"/>
        <v>2.7936878097203948E-2</v>
      </c>
      <c r="G20" s="60">
        <v>20.47246886054408</v>
      </c>
      <c r="H20" s="44">
        <v>12023</v>
      </c>
      <c r="I20" s="60" t="s">
        <v>576</v>
      </c>
    </row>
    <row r="21" spans="1:10" ht="14.25" customHeight="1" x14ac:dyDescent="0.3">
      <c r="A21" s="40" t="s">
        <v>275</v>
      </c>
      <c r="B21" s="41" t="s">
        <v>14</v>
      </c>
      <c r="C21" s="42">
        <v>1963</v>
      </c>
      <c r="D21" s="42">
        <v>137</v>
      </c>
      <c r="E21" s="42">
        <v>255684</v>
      </c>
      <c r="F21" s="43">
        <f t="shared" si="0"/>
        <v>7.1416279469970747E-3</v>
      </c>
      <c r="G21" s="60">
        <v>11.2083665774941</v>
      </c>
      <c r="H21" s="44">
        <v>24537</v>
      </c>
      <c r="I21" s="60" t="s">
        <v>576</v>
      </c>
    </row>
    <row r="22" spans="1:10" ht="14.25" customHeight="1" x14ac:dyDescent="0.3">
      <c r="A22" s="40" t="s">
        <v>533</v>
      </c>
      <c r="B22" s="41" t="s">
        <v>21</v>
      </c>
      <c r="C22" s="42">
        <v>8340</v>
      </c>
      <c r="D22" s="42">
        <v>911</v>
      </c>
      <c r="E22" s="42">
        <v>264494</v>
      </c>
      <c r="F22" s="43">
        <f t="shared" si="0"/>
        <v>2.8087593669421613E-2</v>
      </c>
      <c r="G22" s="60">
        <v>37.302925586213682</v>
      </c>
      <c r="H22" s="44">
        <v>48659</v>
      </c>
      <c r="I22" s="61"/>
    </row>
    <row r="23" spans="1:10" ht="14.25" customHeight="1" x14ac:dyDescent="0.3">
      <c r="A23" s="40" t="s">
        <v>533</v>
      </c>
      <c r="B23" s="41" t="s">
        <v>53</v>
      </c>
      <c r="C23" s="42">
        <v>8179</v>
      </c>
      <c r="D23" s="42">
        <v>446</v>
      </c>
      <c r="E23" s="42">
        <v>272227</v>
      </c>
      <c r="F23" s="43">
        <f t="shared" si="0"/>
        <v>2.8406440213498294E-2</v>
      </c>
      <c r="G23" s="60">
        <v>41.82171496581897</v>
      </c>
      <c r="H23" s="44">
        <v>43848</v>
      </c>
      <c r="I23" s="61"/>
    </row>
    <row r="24" spans="1:10" ht="14.25" customHeight="1" x14ac:dyDescent="0.3">
      <c r="A24" s="40" t="s">
        <v>533</v>
      </c>
      <c r="B24" s="41" t="s">
        <v>14</v>
      </c>
      <c r="C24" s="42">
        <v>9734</v>
      </c>
      <c r="D24" s="42">
        <v>652</v>
      </c>
      <c r="E24" s="42">
        <v>289283</v>
      </c>
      <c r="F24" s="43">
        <f t="shared" si="0"/>
        <v>3.1394862470314533E-2</v>
      </c>
      <c r="G24" s="60">
        <v>49.647922622483861</v>
      </c>
      <c r="H24" s="44">
        <v>25379</v>
      </c>
      <c r="I24" s="61"/>
    </row>
    <row r="25" spans="1:10" ht="14.25" customHeight="1" x14ac:dyDescent="0.3">
      <c r="A25" s="40" t="s">
        <v>230</v>
      </c>
      <c r="B25" s="41" t="s">
        <v>21</v>
      </c>
      <c r="C25" s="42">
        <v>1845</v>
      </c>
      <c r="D25" s="42">
        <v>104</v>
      </c>
      <c r="E25" s="42">
        <v>291024</v>
      </c>
      <c r="F25" s="43">
        <f t="shared" si="0"/>
        <v>5.9823244818296775E-3</v>
      </c>
      <c r="G25" s="60">
        <v>28.158158777282971</v>
      </c>
      <c r="H25" s="44">
        <v>37766</v>
      </c>
      <c r="I25" s="61"/>
    </row>
    <row r="26" spans="1:10" ht="14.25" customHeight="1" x14ac:dyDescent="0.3">
      <c r="A26" s="40" t="s">
        <v>230</v>
      </c>
      <c r="B26" s="41" t="s">
        <v>14</v>
      </c>
      <c r="C26" s="42">
        <v>4036</v>
      </c>
      <c r="D26" s="42">
        <v>591</v>
      </c>
      <c r="E26" s="42">
        <v>300265</v>
      </c>
      <c r="F26" s="43">
        <f t="shared" si="0"/>
        <v>1.1473198674504187E-2</v>
      </c>
      <c r="G26" s="60">
        <v>44.219272975538267</v>
      </c>
      <c r="H26" s="44">
        <v>12563</v>
      </c>
      <c r="I26" s="61"/>
    </row>
    <row r="27" spans="1:10" ht="14.25" customHeight="1" x14ac:dyDescent="0.3">
      <c r="A27" s="40" t="s">
        <v>230</v>
      </c>
      <c r="B27" s="41" t="s">
        <v>53</v>
      </c>
      <c r="C27" s="42">
        <v>6947</v>
      </c>
      <c r="D27" s="42">
        <v>908</v>
      </c>
      <c r="E27" s="42">
        <v>306304</v>
      </c>
      <c r="F27" s="43">
        <f t="shared" si="0"/>
        <v>1.9715707271207691E-2</v>
      </c>
      <c r="G27" s="60">
        <v>14.117673944839121</v>
      </c>
      <c r="H27" s="44">
        <v>46060</v>
      </c>
      <c r="I27" s="61"/>
    </row>
    <row r="28" spans="1:10" ht="14.25" customHeight="1" x14ac:dyDescent="0.3">
      <c r="A28" s="40" t="s">
        <v>446</v>
      </c>
      <c r="B28" s="41" t="s">
        <v>26</v>
      </c>
      <c r="C28" s="42">
        <v>3494</v>
      </c>
      <c r="D28" s="42">
        <v>281</v>
      </c>
      <c r="E28" s="42">
        <v>309517</v>
      </c>
      <c r="F28" s="43">
        <f t="shared" si="0"/>
        <v>1.0380689913639638E-2</v>
      </c>
      <c r="G28" s="60">
        <v>27.765518533715429</v>
      </c>
      <c r="H28" s="44">
        <v>39197</v>
      </c>
      <c r="I28" s="61"/>
    </row>
    <row r="29" spans="1:10" ht="14.25" customHeight="1" x14ac:dyDescent="0.3">
      <c r="A29" s="40" t="s">
        <v>446</v>
      </c>
      <c r="B29" s="41" t="s">
        <v>53</v>
      </c>
      <c r="C29" s="42">
        <v>3719</v>
      </c>
      <c r="D29" s="42">
        <v>222</v>
      </c>
      <c r="E29" s="42">
        <v>313014</v>
      </c>
      <c r="F29" s="43">
        <f t="shared" si="0"/>
        <v>1.1172024254506188E-2</v>
      </c>
      <c r="G29" s="60">
        <v>21.669318305251519</v>
      </c>
      <c r="H29" s="44">
        <v>13586</v>
      </c>
      <c r="I29" s="61"/>
    </row>
    <row r="30" spans="1:10" ht="14.25" customHeight="1" x14ac:dyDescent="0.3">
      <c r="A30" s="40" t="s">
        <v>446</v>
      </c>
      <c r="B30" s="41" t="s">
        <v>14</v>
      </c>
      <c r="C30" s="42">
        <v>2884</v>
      </c>
      <c r="D30" s="42">
        <v>341</v>
      </c>
      <c r="E30" s="42">
        <v>315557</v>
      </c>
      <c r="F30" s="43">
        <f t="shared" si="0"/>
        <v>8.058765928184131E-3</v>
      </c>
      <c r="G30" s="60">
        <v>46.999749649033298</v>
      </c>
      <c r="H30" s="44">
        <v>26087</v>
      </c>
      <c r="I30" s="61"/>
    </row>
    <row r="31" spans="1:10" ht="14.25" customHeight="1" x14ac:dyDescent="0.3">
      <c r="A31" s="40" t="s">
        <v>446</v>
      </c>
      <c r="B31" s="41" t="s">
        <v>21</v>
      </c>
      <c r="C31" s="42">
        <v>5349</v>
      </c>
      <c r="D31" s="42">
        <v>502</v>
      </c>
      <c r="E31" s="42">
        <v>320404</v>
      </c>
      <c r="F31" s="43">
        <f t="shared" si="0"/>
        <v>1.5127776182569505E-2</v>
      </c>
      <c r="G31" s="60">
        <v>5.2152906954969351</v>
      </c>
      <c r="H31" s="44">
        <v>58868</v>
      </c>
      <c r="I31" s="61"/>
    </row>
    <row r="32" spans="1:10" ht="14.25" customHeight="1" x14ac:dyDescent="0.3">
      <c r="A32" s="40" t="s">
        <v>33</v>
      </c>
      <c r="B32" s="41" t="s">
        <v>53</v>
      </c>
      <c r="C32" s="42">
        <v>6179</v>
      </c>
      <c r="D32" s="42">
        <v>384</v>
      </c>
      <c r="E32" s="42">
        <v>326199</v>
      </c>
      <c r="F32" s="43">
        <f t="shared" si="0"/>
        <v>1.7765229200580015E-2</v>
      </c>
      <c r="G32" s="60">
        <v>14.71218489327067</v>
      </c>
      <c r="H32" s="44">
        <v>33225</v>
      </c>
      <c r="I32" s="61"/>
    </row>
    <row r="33" spans="1:9" ht="14.25" customHeight="1" x14ac:dyDescent="0.3">
      <c r="A33" s="40" t="s">
        <v>33</v>
      </c>
      <c r="B33" s="41" t="s">
        <v>26</v>
      </c>
      <c r="C33" s="42">
        <v>7610</v>
      </c>
      <c r="D33" s="42">
        <v>757</v>
      </c>
      <c r="E33" s="42">
        <v>333052</v>
      </c>
      <c r="F33" s="43">
        <f t="shared" si="0"/>
        <v>2.0576366453286574E-2</v>
      </c>
      <c r="G33" s="60">
        <v>44.450416151231643</v>
      </c>
      <c r="H33" s="44">
        <v>39750</v>
      </c>
      <c r="I33" s="61"/>
    </row>
    <row r="34" spans="1:9" ht="14.25" customHeight="1" x14ac:dyDescent="0.3">
      <c r="A34" s="40" t="s">
        <v>33</v>
      </c>
      <c r="B34" s="41" t="s">
        <v>14</v>
      </c>
      <c r="C34" s="42">
        <v>7430</v>
      </c>
      <c r="D34" s="42">
        <v>397</v>
      </c>
      <c r="E34" s="42">
        <v>340085</v>
      </c>
      <c r="F34" s="43">
        <f t="shared" si="0"/>
        <v>2.0680124086625402E-2</v>
      </c>
      <c r="G34" s="60">
        <v>28.065042562888689</v>
      </c>
      <c r="H34" s="44">
        <v>16643</v>
      </c>
      <c r="I34" s="61"/>
    </row>
    <row r="35" spans="1:9" ht="14.25" customHeight="1" x14ac:dyDescent="0.3">
      <c r="A35" s="40" t="s">
        <v>72</v>
      </c>
      <c r="B35" s="41" t="s">
        <v>26</v>
      </c>
      <c r="C35" s="42">
        <v>7488</v>
      </c>
      <c r="D35" s="42">
        <v>568</v>
      </c>
      <c r="E35" s="42">
        <v>354010</v>
      </c>
      <c r="F35" s="43">
        <f t="shared" si="0"/>
        <v>1.9547470410440384E-2</v>
      </c>
      <c r="G35" s="60">
        <v>13.47730290104799</v>
      </c>
      <c r="H35" s="44">
        <v>46727</v>
      </c>
      <c r="I35" s="61"/>
    </row>
    <row r="36" spans="1:9" ht="14.25" customHeight="1" x14ac:dyDescent="0.3">
      <c r="A36" s="40" t="s">
        <v>72</v>
      </c>
      <c r="B36" s="41" t="s">
        <v>14</v>
      </c>
      <c r="C36" s="42">
        <v>5737</v>
      </c>
      <c r="D36" s="42">
        <v>666</v>
      </c>
      <c r="E36" s="42">
        <v>359081</v>
      </c>
      <c r="F36" s="43">
        <f t="shared" si="0"/>
        <v>1.4122161852061233E-2</v>
      </c>
      <c r="G36" s="60">
        <v>4.6034181702735593</v>
      </c>
      <c r="H36" s="44">
        <v>21005</v>
      </c>
      <c r="I36" s="61"/>
    </row>
    <row r="37" spans="1:9" ht="14.25" customHeight="1" x14ac:dyDescent="0.3">
      <c r="A37" s="40" t="s">
        <v>67</v>
      </c>
      <c r="B37" s="41" t="s">
        <v>21</v>
      </c>
      <c r="C37" s="42">
        <v>1689</v>
      </c>
      <c r="D37" s="42">
        <v>176</v>
      </c>
      <c r="E37" s="42">
        <v>371865</v>
      </c>
      <c r="F37" s="43">
        <f t="shared" si="0"/>
        <v>4.068680838476329E-3</v>
      </c>
      <c r="G37" s="60">
        <v>38.012181840183942</v>
      </c>
      <c r="H37" s="44">
        <v>26029</v>
      </c>
      <c r="I37" s="61"/>
    </row>
    <row r="38" spans="1:9" ht="14.25" customHeight="1" x14ac:dyDescent="0.3">
      <c r="A38" s="40" t="s">
        <v>67</v>
      </c>
      <c r="B38" s="41" t="s">
        <v>53</v>
      </c>
      <c r="C38" s="42">
        <v>6175</v>
      </c>
      <c r="D38" s="42">
        <v>422</v>
      </c>
      <c r="E38" s="42">
        <v>377618</v>
      </c>
      <c r="F38" s="43">
        <f t="shared" si="0"/>
        <v>1.523497290913039E-2</v>
      </c>
      <c r="G38" s="60">
        <v>37.86101298137271</v>
      </c>
      <c r="H38" s="44">
        <v>59745</v>
      </c>
      <c r="I38" s="61"/>
    </row>
    <row r="39" spans="1:9" ht="14.25" customHeight="1" x14ac:dyDescent="0.3">
      <c r="A39" s="40" t="s">
        <v>67</v>
      </c>
      <c r="B39" s="41" t="s">
        <v>26</v>
      </c>
      <c r="C39" s="42">
        <v>9648</v>
      </c>
      <c r="D39" s="42">
        <v>1417</v>
      </c>
      <c r="E39" s="42">
        <v>385849</v>
      </c>
      <c r="F39" s="43">
        <f t="shared" si="0"/>
        <v>2.1332179168534842E-2</v>
      </c>
      <c r="G39" s="60">
        <v>3.6633501706626168</v>
      </c>
      <c r="H39" s="44">
        <v>24226</v>
      </c>
      <c r="I39" s="61"/>
    </row>
    <row r="40" spans="1:9" ht="14.25" customHeight="1" x14ac:dyDescent="0.3">
      <c r="A40" s="40" t="s">
        <v>67</v>
      </c>
      <c r="B40" s="41" t="s">
        <v>14</v>
      </c>
      <c r="C40" s="42">
        <v>6078</v>
      </c>
      <c r="D40" s="42">
        <v>775</v>
      </c>
      <c r="E40" s="42">
        <v>391152</v>
      </c>
      <c r="F40" s="43">
        <f t="shared" si="0"/>
        <v>1.3557389454738823E-2</v>
      </c>
      <c r="G40" s="60">
        <v>37.760512537325639</v>
      </c>
      <c r="H40" s="44">
        <v>38731</v>
      </c>
      <c r="I40" s="61"/>
    </row>
    <row r="41" spans="1:9" ht="14.25" customHeight="1" x14ac:dyDescent="0.3">
      <c r="A41" s="40" t="s">
        <v>164</v>
      </c>
      <c r="B41" s="41" t="s">
        <v>26</v>
      </c>
      <c r="C41" s="42">
        <v>6448</v>
      </c>
      <c r="D41" s="42">
        <v>928</v>
      </c>
      <c r="E41" s="42">
        <v>396672</v>
      </c>
      <c r="F41" s="43">
        <f t="shared" si="0"/>
        <v>1.3915779283639884E-2</v>
      </c>
      <c r="G41" s="60">
        <v>30.118586640851881</v>
      </c>
      <c r="H41" s="44">
        <v>53922</v>
      </c>
      <c r="I41" s="61"/>
    </row>
    <row r="42" spans="1:9" ht="14.25" customHeight="1" x14ac:dyDescent="0.3">
      <c r="A42" s="40" t="s">
        <v>164</v>
      </c>
      <c r="B42" s="41" t="s">
        <v>53</v>
      </c>
      <c r="C42" s="42">
        <v>7406</v>
      </c>
      <c r="D42" s="42">
        <v>813</v>
      </c>
      <c r="E42" s="42">
        <v>405141</v>
      </c>
      <c r="F42" s="43">
        <f t="shared" si="0"/>
        <v>1.6273346810122897E-2</v>
      </c>
      <c r="G42" s="60">
        <v>24.457411123534769</v>
      </c>
      <c r="H42" s="44">
        <v>13390</v>
      </c>
      <c r="I42" s="61"/>
    </row>
    <row r="43" spans="1:9" ht="14.25" customHeight="1" x14ac:dyDescent="0.3">
      <c r="A43" s="40" t="s">
        <v>164</v>
      </c>
      <c r="B43" s="41" t="s">
        <v>21</v>
      </c>
      <c r="C43" s="42">
        <v>9591</v>
      </c>
      <c r="D43" s="42">
        <v>1363</v>
      </c>
      <c r="E43" s="42">
        <v>413369</v>
      </c>
      <c r="F43" s="43">
        <f t="shared" si="0"/>
        <v>1.9904734026983156E-2</v>
      </c>
      <c r="G43" s="60">
        <v>10.494255737609739</v>
      </c>
      <c r="H43" s="44">
        <v>15997</v>
      </c>
      <c r="I43" s="61"/>
    </row>
    <row r="44" spans="1:9" ht="14.25" customHeight="1" x14ac:dyDescent="0.3">
      <c r="A44" s="40" t="s">
        <v>76</v>
      </c>
      <c r="B44" s="41" t="s">
        <v>26</v>
      </c>
      <c r="C44" s="42">
        <v>7907</v>
      </c>
      <c r="D44" s="42">
        <v>465</v>
      </c>
      <c r="E44" s="42">
        <v>420811</v>
      </c>
      <c r="F44" s="43">
        <f t="shared" si="0"/>
        <v>1.76848989213685E-2</v>
      </c>
      <c r="G44" s="60">
        <v>33.257448118038738</v>
      </c>
      <c r="H44" s="44">
        <v>22693</v>
      </c>
      <c r="I44" s="60" t="s">
        <v>579</v>
      </c>
    </row>
    <row r="45" spans="1:9" ht="14.25" customHeight="1" x14ac:dyDescent="0.3">
      <c r="A45" s="40" t="s">
        <v>76</v>
      </c>
      <c r="B45" s="41" t="s">
        <v>14</v>
      </c>
      <c r="C45" s="42">
        <v>9800</v>
      </c>
      <c r="D45" s="42">
        <v>682</v>
      </c>
      <c r="E45" s="42">
        <v>429929</v>
      </c>
      <c r="F45" s="43">
        <f t="shared" si="0"/>
        <v>2.1208152974095722E-2</v>
      </c>
      <c r="G45" s="60">
        <v>6.2966210699906267</v>
      </c>
      <c r="H45" s="44">
        <v>59815</v>
      </c>
      <c r="I45" s="60" t="s">
        <v>579</v>
      </c>
    </row>
    <row r="46" spans="1:9" ht="14.25" customHeight="1" x14ac:dyDescent="0.3">
      <c r="A46" s="40" t="s">
        <v>76</v>
      </c>
      <c r="B46" s="41" t="s">
        <v>21</v>
      </c>
      <c r="C46" s="42">
        <v>6671</v>
      </c>
      <c r="D46" s="42">
        <v>550</v>
      </c>
      <c r="E46" s="42">
        <v>438545</v>
      </c>
      <c r="F46" s="43">
        <f t="shared" si="0"/>
        <v>1.3957518612685129E-2</v>
      </c>
      <c r="G46" s="60">
        <v>17.750287883797562</v>
      </c>
      <c r="H46" s="44">
        <v>10541</v>
      </c>
      <c r="I46" s="60" t="s">
        <v>579</v>
      </c>
    </row>
    <row r="47" spans="1:9" ht="14.25" customHeight="1" x14ac:dyDescent="0.3">
      <c r="A47" s="40" t="s">
        <v>534</v>
      </c>
      <c r="B47" s="41" t="s">
        <v>14</v>
      </c>
      <c r="C47" s="42">
        <v>7928</v>
      </c>
      <c r="D47" s="42">
        <v>704</v>
      </c>
      <c r="E47" s="42">
        <v>445769</v>
      </c>
      <c r="F47" s="43">
        <f t="shared" si="0"/>
        <v>1.6205702953772022E-2</v>
      </c>
      <c r="G47" s="60">
        <v>11.194362999670229</v>
      </c>
      <c r="H47" s="44">
        <v>31817</v>
      </c>
      <c r="I47" s="60" t="s">
        <v>579</v>
      </c>
    </row>
    <row r="48" spans="1:9" ht="14.25" customHeight="1" x14ac:dyDescent="0.3">
      <c r="A48" s="40" t="s">
        <v>534</v>
      </c>
      <c r="B48" s="41" t="s">
        <v>21</v>
      </c>
      <c r="C48" s="42">
        <v>2382</v>
      </c>
      <c r="D48" s="42">
        <v>183</v>
      </c>
      <c r="E48" s="42">
        <v>447968</v>
      </c>
      <c r="F48" s="43">
        <f t="shared" si="0"/>
        <v>4.9088327737695546E-3</v>
      </c>
      <c r="G48" s="60">
        <v>4.7335970426459033</v>
      </c>
      <c r="H48" s="44">
        <v>47861</v>
      </c>
      <c r="I48" s="60" t="s">
        <v>579</v>
      </c>
    </row>
    <row r="49" spans="1:9" ht="14.25" customHeight="1" x14ac:dyDescent="0.3">
      <c r="A49" s="40" t="s">
        <v>534</v>
      </c>
      <c r="B49" s="41" t="s">
        <v>53</v>
      </c>
      <c r="C49" s="42">
        <v>4292</v>
      </c>
      <c r="D49" s="42">
        <v>367</v>
      </c>
      <c r="E49" s="42">
        <v>453977</v>
      </c>
      <c r="F49" s="43">
        <f t="shared" si="0"/>
        <v>8.6458124530537899E-3</v>
      </c>
      <c r="G49" s="60">
        <v>3.5037017293827661</v>
      </c>
      <c r="H49" s="44">
        <v>53934</v>
      </c>
      <c r="I49" s="60" t="s">
        <v>579</v>
      </c>
    </row>
    <row r="50" spans="1:9" ht="14.25" customHeight="1" x14ac:dyDescent="0.3">
      <c r="A50" s="40" t="s">
        <v>535</v>
      </c>
      <c r="B50" s="41" t="s">
        <v>26</v>
      </c>
      <c r="C50" s="42">
        <v>1419</v>
      </c>
      <c r="D50" s="42">
        <v>110</v>
      </c>
      <c r="E50" s="42">
        <v>455286</v>
      </c>
      <c r="F50" s="43">
        <f>(C50-D50)/E50</f>
        <v>2.8751158612388694E-3</v>
      </c>
      <c r="G50" s="60">
        <v>31.554451487636339</v>
      </c>
      <c r="H50" s="44">
        <v>58831</v>
      </c>
      <c r="I50" s="60" t="s">
        <v>579</v>
      </c>
    </row>
    <row r="51" spans="1:9" ht="14.25" customHeight="1" x14ac:dyDescent="0.3">
      <c r="A51" s="40" t="s">
        <v>535</v>
      </c>
      <c r="B51" s="41" t="s">
        <v>53</v>
      </c>
      <c r="C51" s="42">
        <v>5517</v>
      </c>
      <c r="D51" s="42">
        <v>575</v>
      </c>
      <c r="E51" s="42">
        <v>460228</v>
      </c>
      <c r="F51" s="43">
        <f t="shared" si="0"/>
        <v>1.07381558705685E-2</v>
      </c>
      <c r="G51" s="60">
        <v>29.45844233727631</v>
      </c>
      <c r="H51" s="44">
        <v>20258</v>
      </c>
      <c r="I51" s="60" t="s">
        <v>579</v>
      </c>
    </row>
    <row r="52" spans="1:9" ht="14.25" customHeight="1" x14ac:dyDescent="0.3">
      <c r="A52" s="40" t="s">
        <v>536</v>
      </c>
      <c r="B52" s="41" t="s">
        <v>26</v>
      </c>
      <c r="C52" s="42">
        <v>8870</v>
      </c>
      <c r="D52" s="42">
        <v>509</v>
      </c>
      <c r="E52" s="42">
        <v>480320</v>
      </c>
      <c r="F52" s="43">
        <f t="shared" si="0"/>
        <v>1.7407145236508995E-2</v>
      </c>
      <c r="G52" s="60">
        <v>25.077864756828781</v>
      </c>
      <c r="H52" s="44">
        <v>15469</v>
      </c>
      <c r="I52" s="60" t="s">
        <v>579</v>
      </c>
    </row>
    <row r="53" spans="1:9" ht="14.25" customHeight="1" x14ac:dyDescent="0.3">
      <c r="A53" s="40" t="s">
        <v>536</v>
      </c>
      <c r="B53" s="41" t="s">
        <v>53</v>
      </c>
      <c r="C53" s="42">
        <v>6693</v>
      </c>
      <c r="D53" s="42">
        <v>995</v>
      </c>
      <c r="E53" s="42">
        <v>486018</v>
      </c>
      <c r="F53" s="43">
        <f t="shared" si="0"/>
        <v>1.1723845618886543E-2</v>
      </c>
      <c r="G53" s="60">
        <v>23.761877132122681</v>
      </c>
      <c r="H53" s="44">
        <v>38854</v>
      </c>
      <c r="I53" s="60" t="s">
        <v>579</v>
      </c>
    </row>
    <row r="54" spans="1:9" ht="14.25" customHeight="1" x14ac:dyDescent="0.3">
      <c r="A54" s="40" t="s">
        <v>537</v>
      </c>
      <c r="B54" s="41" t="s">
        <v>21</v>
      </c>
      <c r="C54" s="42">
        <v>2549</v>
      </c>
      <c r="D54" s="42">
        <v>128</v>
      </c>
      <c r="E54" s="42">
        <v>492814</v>
      </c>
      <c r="F54" s="43">
        <f t="shared" si="0"/>
        <v>4.9126039438814641E-3</v>
      </c>
      <c r="G54" s="60">
        <v>12.734216154573531</v>
      </c>
      <c r="H54" s="44">
        <v>43937</v>
      </c>
      <c r="I54" s="60" t="s">
        <v>578</v>
      </c>
    </row>
    <row r="55" spans="1:9" ht="14.25" customHeight="1" x14ac:dyDescent="0.3">
      <c r="A55" s="40" t="s">
        <v>537</v>
      </c>
      <c r="B55" s="41" t="s">
        <v>14</v>
      </c>
      <c r="C55" s="42">
        <v>7140</v>
      </c>
      <c r="D55" s="42">
        <v>939</v>
      </c>
      <c r="E55" s="42">
        <v>499015</v>
      </c>
      <c r="F55" s="43">
        <f t="shared" si="0"/>
        <v>1.2426480165926877E-2</v>
      </c>
      <c r="G55" s="60">
        <v>25.120888149654821</v>
      </c>
      <c r="H55" s="44">
        <v>43598</v>
      </c>
      <c r="I55" s="60" t="s">
        <v>578</v>
      </c>
    </row>
    <row r="56" spans="1:9" ht="14.25" customHeight="1" x14ac:dyDescent="0.3">
      <c r="A56" s="40" t="s">
        <v>537</v>
      </c>
      <c r="B56" s="41" t="s">
        <v>26</v>
      </c>
      <c r="C56" s="42">
        <v>5481</v>
      </c>
      <c r="D56" s="42">
        <v>673</v>
      </c>
      <c r="E56" s="42">
        <v>507970</v>
      </c>
      <c r="F56" s="43">
        <f t="shared" si="0"/>
        <v>9.4651258932614123E-3</v>
      </c>
      <c r="G56" s="60">
        <v>13.08758391243577</v>
      </c>
      <c r="H56" s="44">
        <v>29194</v>
      </c>
      <c r="I56" s="60" t="s">
        <v>578</v>
      </c>
    </row>
    <row r="57" spans="1:9" ht="14.25" customHeight="1" x14ac:dyDescent="0.3">
      <c r="A57" s="40" t="s">
        <v>538</v>
      </c>
      <c r="B57" s="41" t="s">
        <v>53</v>
      </c>
      <c r="C57" s="42">
        <v>8898</v>
      </c>
      <c r="D57" s="42">
        <v>1131</v>
      </c>
      <c r="E57" s="42">
        <v>515737</v>
      </c>
      <c r="F57" s="43">
        <f t="shared" si="0"/>
        <v>1.5060001512398761E-2</v>
      </c>
      <c r="G57" s="60">
        <v>2.1877429775253669</v>
      </c>
      <c r="H57" s="44">
        <v>35051</v>
      </c>
      <c r="I57" s="60" t="s">
        <v>578</v>
      </c>
    </row>
    <row r="58" spans="1:9" ht="14.25" customHeight="1" x14ac:dyDescent="0.3">
      <c r="A58" s="40" t="s">
        <v>538</v>
      </c>
      <c r="B58" s="41" t="s">
        <v>14</v>
      </c>
      <c r="C58" s="42">
        <v>7548</v>
      </c>
      <c r="D58" s="42">
        <v>433</v>
      </c>
      <c r="E58" s="42">
        <v>522852</v>
      </c>
      <c r="F58" s="43">
        <f t="shared" si="0"/>
        <v>1.3608057347012157E-2</v>
      </c>
      <c r="G58" s="60">
        <v>8.3562843787534522</v>
      </c>
      <c r="H58" s="44">
        <v>37386</v>
      </c>
      <c r="I58" s="60" t="s">
        <v>578</v>
      </c>
    </row>
    <row r="59" spans="1:9" ht="14.25" customHeight="1" x14ac:dyDescent="0.3">
      <c r="A59" s="40" t="s">
        <v>138</v>
      </c>
      <c r="B59" s="41" t="s">
        <v>26</v>
      </c>
      <c r="C59" s="42">
        <v>8758</v>
      </c>
      <c r="D59" s="42">
        <v>1193</v>
      </c>
      <c r="E59" s="42">
        <v>538906</v>
      </c>
      <c r="F59" s="43">
        <f t="shared" si="0"/>
        <v>1.4037698596786824E-2</v>
      </c>
      <c r="G59" s="60">
        <v>3.4213758985797149</v>
      </c>
      <c r="H59" s="44">
        <v>26184</v>
      </c>
      <c r="I59" s="60" t="s">
        <v>578</v>
      </c>
    </row>
    <row r="60" spans="1:9" ht="14.25" customHeight="1" x14ac:dyDescent="0.3">
      <c r="A60" s="40" t="s">
        <v>138</v>
      </c>
      <c r="B60" s="41" t="s">
        <v>14</v>
      </c>
      <c r="C60" s="42">
        <v>7793</v>
      </c>
      <c r="D60" s="42">
        <v>875</v>
      </c>
      <c r="E60" s="42">
        <v>545824</v>
      </c>
      <c r="F60" s="43">
        <f t="shared" si="0"/>
        <v>1.267441519610717E-2</v>
      </c>
      <c r="G60" s="60">
        <v>5.5136820660139527</v>
      </c>
      <c r="H60" s="44">
        <v>43787</v>
      </c>
      <c r="I60" s="60" t="s">
        <v>578</v>
      </c>
    </row>
    <row r="61" spans="1:9" ht="14.25" customHeight="1" x14ac:dyDescent="0.3">
      <c r="A61" s="40" t="s">
        <v>169</v>
      </c>
      <c r="B61" s="41" t="s">
        <v>14</v>
      </c>
      <c r="C61" s="42">
        <v>7007</v>
      </c>
      <c r="D61" s="42">
        <v>568</v>
      </c>
      <c r="E61" s="42">
        <v>568671</v>
      </c>
      <c r="F61" s="43">
        <f t="shared" si="0"/>
        <v>1.1322891443382905E-2</v>
      </c>
      <c r="G61" s="60">
        <v>11.50507059442103</v>
      </c>
      <c r="H61" s="44">
        <v>22448</v>
      </c>
      <c r="I61" s="60" t="s">
        <v>578</v>
      </c>
    </row>
    <row r="62" spans="1:9" ht="14.25" customHeight="1" x14ac:dyDescent="0.3">
      <c r="A62" s="40" t="s">
        <v>169</v>
      </c>
      <c r="B62" s="41" t="s">
        <v>21</v>
      </c>
      <c r="C62" s="42">
        <v>7356</v>
      </c>
      <c r="D62" s="42">
        <v>904</v>
      </c>
      <c r="E62" s="42">
        <v>581126</v>
      </c>
      <c r="F62" s="43">
        <f t="shared" si="0"/>
        <v>1.1102583604932494E-2</v>
      </c>
      <c r="G62" s="60">
        <v>17.560907617280929</v>
      </c>
      <c r="H62" s="44">
        <v>44051</v>
      </c>
      <c r="I62" s="60" t="s">
        <v>578</v>
      </c>
    </row>
    <row r="63" spans="1:9" ht="14.25" customHeight="1" x14ac:dyDescent="0.3">
      <c r="A63" s="40" t="s">
        <v>242</v>
      </c>
      <c r="B63" s="41" t="s">
        <v>53</v>
      </c>
      <c r="C63" s="42">
        <v>8380</v>
      </c>
      <c r="D63" s="42">
        <v>1162</v>
      </c>
      <c r="E63" s="42">
        <v>596704</v>
      </c>
      <c r="F63" s="43">
        <f t="shared" si="0"/>
        <v>1.2096449831072022E-2</v>
      </c>
      <c r="G63" s="60">
        <v>18.05853488496809</v>
      </c>
      <c r="H63" s="44">
        <v>40447</v>
      </c>
      <c r="I63" s="61"/>
    </row>
    <row r="64" spans="1:9" ht="14.25" customHeight="1" x14ac:dyDescent="0.3">
      <c r="A64" s="40" t="s">
        <v>242</v>
      </c>
      <c r="B64" s="41" t="s">
        <v>14</v>
      </c>
      <c r="C64" s="42">
        <v>3385</v>
      </c>
      <c r="D64" s="42">
        <v>329</v>
      </c>
      <c r="E64" s="42">
        <v>599760</v>
      </c>
      <c r="F64" s="43">
        <f t="shared" si="0"/>
        <v>5.0953714819261036E-3</v>
      </c>
      <c r="G64" s="60">
        <v>17.61788048552755</v>
      </c>
      <c r="H64" s="44">
        <v>28394</v>
      </c>
      <c r="I64" s="61"/>
    </row>
    <row r="65" spans="1:9" ht="14.25" customHeight="1" x14ac:dyDescent="0.3">
      <c r="A65" s="40" t="s">
        <v>242</v>
      </c>
      <c r="B65" s="41" t="s">
        <v>21</v>
      </c>
      <c r="C65" s="42">
        <v>5268</v>
      </c>
      <c r="D65" s="42">
        <v>326</v>
      </c>
      <c r="E65" s="42">
        <v>604702</v>
      </c>
      <c r="F65" s="43">
        <f t="shared" si="0"/>
        <v>8.1726205635172366E-3</v>
      </c>
      <c r="G65" s="60">
        <v>23.435841125050029</v>
      </c>
      <c r="H65" s="44">
        <v>44501</v>
      </c>
      <c r="I65" s="61"/>
    </row>
    <row r="66" spans="1:9" ht="14.25" customHeight="1" x14ac:dyDescent="0.3">
      <c r="A66" s="40" t="s">
        <v>539</v>
      </c>
      <c r="B66" s="41" t="s">
        <v>53</v>
      </c>
      <c r="C66" s="42">
        <v>1163</v>
      </c>
      <c r="D66" s="42">
        <v>146</v>
      </c>
      <c r="E66" s="42">
        <v>607188</v>
      </c>
      <c r="F66" s="43">
        <f>(C66-D66)/E66</f>
        <v>1.6749342872388782E-3</v>
      </c>
      <c r="G66" s="60">
        <v>21.77776899411715</v>
      </c>
      <c r="H66" s="44">
        <v>28509</v>
      </c>
      <c r="I66" s="61"/>
    </row>
    <row r="67" spans="1:9" ht="14.25" customHeight="1" x14ac:dyDescent="0.3">
      <c r="A67" s="40" t="s">
        <v>539</v>
      </c>
      <c r="B67" s="41" t="s">
        <v>21</v>
      </c>
      <c r="C67" s="42">
        <v>5592</v>
      </c>
      <c r="D67" s="42">
        <v>710</v>
      </c>
      <c r="E67" s="42">
        <v>620702</v>
      </c>
      <c r="F67" s="43">
        <f t="shared" si="0"/>
        <v>7.8652880126050834E-3</v>
      </c>
      <c r="G67" s="60">
        <v>9.07118069540617</v>
      </c>
      <c r="H67" s="44">
        <v>24472</v>
      </c>
      <c r="I67" s="61"/>
    </row>
    <row r="68" spans="1:9" ht="14.25" customHeight="1" x14ac:dyDescent="0.3">
      <c r="A68" s="40" t="s">
        <v>539</v>
      </c>
      <c r="B68" s="41" t="s">
        <v>14</v>
      </c>
      <c r="C68" s="42">
        <v>5795</v>
      </c>
      <c r="D68" s="42">
        <v>575</v>
      </c>
      <c r="E68" s="42">
        <v>625922</v>
      </c>
      <c r="F68" s="43">
        <f t="shared" ref="F68:F82" si="1">(C68-D68)/E68</f>
        <v>8.3396972785746461E-3</v>
      </c>
      <c r="G68" s="60">
        <v>3.0908004511744269</v>
      </c>
      <c r="H68" s="44">
        <v>55657</v>
      </c>
      <c r="I68" s="61"/>
    </row>
    <row r="69" spans="1:9" ht="14.25" customHeight="1" x14ac:dyDescent="0.3">
      <c r="A69" s="40" t="s">
        <v>62</v>
      </c>
      <c r="B69" s="41" t="s">
        <v>26</v>
      </c>
      <c r="C69" s="42">
        <v>5798</v>
      </c>
      <c r="D69" s="42">
        <v>592</v>
      </c>
      <c r="E69" s="42">
        <v>631128</v>
      </c>
      <c r="F69" s="43">
        <f t="shared" si="1"/>
        <v>8.2487229214992831E-3</v>
      </c>
      <c r="G69" s="60">
        <v>1.6774727155188811</v>
      </c>
      <c r="H69" s="44">
        <v>13471</v>
      </c>
      <c r="I69" s="61"/>
    </row>
    <row r="70" spans="1:9" ht="14.25" customHeight="1" x14ac:dyDescent="0.3">
      <c r="A70" s="40" t="s">
        <v>62</v>
      </c>
      <c r="B70" s="41" t="s">
        <v>53</v>
      </c>
      <c r="C70" s="42">
        <v>7036</v>
      </c>
      <c r="D70" s="42">
        <v>652</v>
      </c>
      <c r="E70" s="42">
        <v>637512</v>
      </c>
      <c r="F70" s="43">
        <f t="shared" si="1"/>
        <v>1.0013929149568949E-2</v>
      </c>
      <c r="G70" s="60">
        <v>3.5705994553828009</v>
      </c>
      <c r="H70" s="44">
        <v>51796</v>
      </c>
      <c r="I70" s="61"/>
    </row>
    <row r="71" spans="1:9" ht="14.25" customHeight="1" x14ac:dyDescent="0.3">
      <c r="A71" s="40" t="s">
        <v>62</v>
      </c>
      <c r="B71" s="41" t="s">
        <v>21</v>
      </c>
      <c r="C71" s="42">
        <v>3355</v>
      </c>
      <c r="D71" s="42">
        <v>176</v>
      </c>
      <c r="E71" s="42">
        <v>640691</v>
      </c>
      <c r="F71" s="43">
        <f t="shared" si="1"/>
        <v>4.9618302738761748E-3</v>
      </c>
      <c r="G71" s="60">
        <v>12.426427091999111</v>
      </c>
      <c r="H71" s="44">
        <v>40268</v>
      </c>
      <c r="I71" s="61"/>
    </row>
    <row r="72" spans="1:9" ht="14.25" customHeight="1" x14ac:dyDescent="0.3">
      <c r="A72" s="40" t="s">
        <v>461</v>
      </c>
      <c r="B72" s="41" t="s">
        <v>26</v>
      </c>
      <c r="C72" s="42">
        <v>8961</v>
      </c>
      <c r="D72" s="42">
        <v>476</v>
      </c>
      <c r="E72" s="42">
        <v>655645</v>
      </c>
      <c r="F72" s="43">
        <f t="shared" si="1"/>
        <v>1.2941454598143812E-2</v>
      </c>
      <c r="G72" s="60">
        <v>15.458517947974901</v>
      </c>
      <c r="H72" s="44">
        <v>44865</v>
      </c>
      <c r="I72" s="61"/>
    </row>
    <row r="73" spans="1:9" ht="14.25" customHeight="1" x14ac:dyDescent="0.3">
      <c r="A73" s="40" t="s">
        <v>461</v>
      </c>
      <c r="B73" s="41" t="s">
        <v>21</v>
      </c>
      <c r="C73" s="42">
        <v>9737</v>
      </c>
      <c r="D73" s="42">
        <v>792</v>
      </c>
      <c r="E73" s="42">
        <v>670642</v>
      </c>
      <c r="F73" s="43">
        <f t="shared" si="1"/>
        <v>1.3337965710468476E-2</v>
      </c>
      <c r="G73" s="60">
        <v>5.301785453341723</v>
      </c>
      <c r="H73" s="44">
        <v>56698</v>
      </c>
      <c r="I73" s="61"/>
    </row>
    <row r="74" spans="1:9" ht="14.25" customHeight="1" x14ac:dyDescent="0.3">
      <c r="A74" s="40" t="s">
        <v>461</v>
      </c>
      <c r="B74" s="41" t="s">
        <v>14</v>
      </c>
      <c r="C74" s="42">
        <v>5719</v>
      </c>
      <c r="D74" s="42">
        <v>576</v>
      </c>
      <c r="E74" s="42">
        <v>675785</v>
      </c>
      <c r="F74" s="43">
        <f t="shared" si="1"/>
        <v>7.6104086358827145E-3</v>
      </c>
      <c r="G74" s="60">
        <v>10.21656296011305</v>
      </c>
      <c r="H74" s="44">
        <v>38272</v>
      </c>
      <c r="I74" s="61"/>
    </row>
    <row r="75" spans="1:9" ht="14.25" customHeight="1" x14ac:dyDescent="0.3">
      <c r="A75" s="40" t="s">
        <v>540</v>
      </c>
      <c r="B75" s="41" t="s">
        <v>26</v>
      </c>
      <c r="C75" s="42">
        <v>1593</v>
      </c>
      <c r="D75" s="42">
        <v>224</v>
      </c>
      <c r="E75" s="42">
        <v>677154</v>
      </c>
      <c r="F75" s="43">
        <f t="shared" si="1"/>
        <v>2.0216966893793729E-3</v>
      </c>
      <c r="G75" s="60">
        <v>4.1495730660972248</v>
      </c>
      <c r="H75" s="44">
        <v>52845</v>
      </c>
      <c r="I75" s="60" t="s">
        <v>581</v>
      </c>
    </row>
    <row r="76" spans="1:9" ht="14.25" customHeight="1" x14ac:dyDescent="0.3">
      <c r="A76" s="40" t="s">
        <v>540</v>
      </c>
      <c r="B76" s="41" t="s">
        <v>21</v>
      </c>
      <c r="C76" s="42">
        <v>5839</v>
      </c>
      <c r="D76" s="42">
        <v>437</v>
      </c>
      <c r="E76" s="42">
        <v>682556</v>
      </c>
      <c r="F76" s="43">
        <f t="shared" si="1"/>
        <v>7.9143689309009082E-3</v>
      </c>
      <c r="G76" s="60">
        <v>17.44750613869045</v>
      </c>
      <c r="H76" s="44">
        <v>16397</v>
      </c>
      <c r="I76" s="60" t="s">
        <v>581</v>
      </c>
    </row>
    <row r="77" spans="1:9" ht="14.25" customHeight="1" x14ac:dyDescent="0.3">
      <c r="A77" s="40" t="s">
        <v>540</v>
      </c>
      <c r="B77" s="41" t="s">
        <v>14</v>
      </c>
      <c r="C77" s="42">
        <v>4493</v>
      </c>
      <c r="D77" s="42">
        <v>564</v>
      </c>
      <c r="E77" s="42">
        <v>694115</v>
      </c>
      <c r="F77" s="43">
        <f t="shared" si="1"/>
        <v>5.660445315257558E-3</v>
      </c>
      <c r="G77" s="60">
        <v>16.625487131094989</v>
      </c>
      <c r="H77" s="44">
        <v>45525</v>
      </c>
      <c r="I77" s="60" t="s">
        <v>581</v>
      </c>
    </row>
    <row r="78" spans="1:9" ht="14.25" customHeight="1" x14ac:dyDescent="0.3">
      <c r="A78" s="40" t="s">
        <v>187</v>
      </c>
      <c r="B78" s="41" t="s">
        <v>53</v>
      </c>
      <c r="C78" s="42">
        <v>7164</v>
      </c>
      <c r="D78" s="42">
        <v>522</v>
      </c>
      <c r="E78" s="42">
        <v>700757</v>
      </c>
      <c r="F78" s="43">
        <f t="shared" si="1"/>
        <v>9.4783213011072308E-3</v>
      </c>
      <c r="G78" s="60">
        <v>13.449169969047761</v>
      </c>
      <c r="H78" s="44">
        <v>34570</v>
      </c>
      <c r="I78" s="60" t="s">
        <v>581</v>
      </c>
    </row>
    <row r="79" spans="1:9" ht="14.25" customHeight="1" x14ac:dyDescent="0.3">
      <c r="A79" s="40" t="s">
        <v>187</v>
      </c>
      <c r="B79" s="41" t="s">
        <v>26</v>
      </c>
      <c r="C79" s="42">
        <v>3672</v>
      </c>
      <c r="D79" s="42">
        <v>211</v>
      </c>
      <c r="E79" s="42">
        <v>704218</v>
      </c>
      <c r="F79" s="43">
        <f t="shared" si="1"/>
        <v>4.9146713091684675E-3</v>
      </c>
      <c r="G79" s="60">
        <v>12.35057894004413</v>
      </c>
      <c r="H79" s="44">
        <v>28284</v>
      </c>
      <c r="I79" s="60" t="s">
        <v>581</v>
      </c>
    </row>
    <row r="80" spans="1:9" ht="14.25" customHeight="1" x14ac:dyDescent="0.3">
      <c r="A80" s="40" t="s">
        <v>187</v>
      </c>
      <c r="B80" s="41" t="s">
        <v>14</v>
      </c>
      <c r="C80" s="42">
        <v>5200</v>
      </c>
      <c r="D80" s="42">
        <v>410</v>
      </c>
      <c r="E80" s="42">
        <v>709008</v>
      </c>
      <c r="F80" s="43">
        <f t="shared" si="1"/>
        <v>6.7559181278631555E-3</v>
      </c>
      <c r="G80" s="60">
        <v>12.913394489201821</v>
      </c>
      <c r="H80" s="44">
        <v>28994</v>
      </c>
      <c r="I80" s="60" t="s">
        <v>581</v>
      </c>
    </row>
    <row r="81" spans="1:9" ht="14.25" customHeight="1" x14ac:dyDescent="0.3">
      <c r="A81" s="40" t="s">
        <v>187</v>
      </c>
      <c r="B81" s="41" t="s">
        <v>21</v>
      </c>
      <c r="C81" s="42">
        <v>1016</v>
      </c>
      <c r="D81" s="42">
        <v>67</v>
      </c>
      <c r="E81" s="42">
        <v>709957</v>
      </c>
      <c r="F81" s="43">
        <f t="shared" si="1"/>
        <v>1.3367006734210664E-3</v>
      </c>
      <c r="G81" s="60">
        <v>20.774215903216671</v>
      </c>
      <c r="H81" s="44">
        <v>33284</v>
      </c>
      <c r="I81" s="60" t="s">
        <v>581</v>
      </c>
    </row>
    <row r="82" spans="1:9" ht="14.25" customHeight="1" x14ac:dyDescent="0.3">
      <c r="A82" s="40" t="s">
        <v>97</v>
      </c>
      <c r="B82" s="41" t="s">
        <v>26</v>
      </c>
      <c r="C82" s="42">
        <v>4191</v>
      </c>
      <c r="D82" s="42">
        <v>599</v>
      </c>
      <c r="E82" s="42">
        <v>713549</v>
      </c>
      <c r="F82" s="43">
        <f t="shared" si="1"/>
        <v>5.033992059410076E-3</v>
      </c>
      <c r="G82" s="60">
        <v>11.56416728213479</v>
      </c>
      <c r="H82" s="44">
        <v>27833</v>
      </c>
      <c r="I82" s="60" t="s">
        <v>581</v>
      </c>
    </row>
    <row r="83" spans="1:9" ht="14.25" customHeight="1" x14ac:dyDescent="0.3">
      <c r="A83" s="40" t="s">
        <v>97</v>
      </c>
      <c r="B83" s="41" t="s">
        <v>21</v>
      </c>
      <c r="C83" s="42">
        <v>9616</v>
      </c>
      <c r="D83" s="42">
        <v>1089</v>
      </c>
      <c r="E83" s="42">
        <v>723286</v>
      </c>
      <c r="F83" s="43">
        <f>(C83-D83)/E83</f>
        <v>1.178925072516266E-2</v>
      </c>
      <c r="G83" s="60">
        <v>19.25863351426683</v>
      </c>
      <c r="H83" s="44">
        <v>15017</v>
      </c>
      <c r="I83" s="60" t="s">
        <v>581</v>
      </c>
    </row>
    <row r="84" spans="1:9" ht="14.25" customHeight="1" x14ac:dyDescent="0.3">
      <c r="A84" s="40" t="s">
        <v>97</v>
      </c>
      <c r="B84" s="41" t="s">
        <v>53</v>
      </c>
      <c r="C84" s="42">
        <v>7272</v>
      </c>
      <c r="D84" s="42">
        <v>997</v>
      </c>
      <c r="E84" s="42">
        <v>729561</v>
      </c>
      <c r="F84" s="43">
        <f t="shared" ref="F84:F107" si="2">(C84-D84)/E84</f>
        <v>8.6010628309353167E-3</v>
      </c>
      <c r="G84" s="60">
        <v>13.428486445958599</v>
      </c>
      <c r="H84" s="44">
        <v>26370</v>
      </c>
      <c r="I84" s="60" t="s">
        <v>581</v>
      </c>
    </row>
    <row r="85" spans="1:9" ht="14.25" customHeight="1" x14ac:dyDescent="0.3">
      <c r="A85" s="40" t="s">
        <v>15</v>
      </c>
      <c r="B85" s="41" t="s">
        <v>21</v>
      </c>
      <c r="C85" s="42">
        <v>1571</v>
      </c>
      <c r="D85" s="42">
        <v>204</v>
      </c>
      <c r="E85" s="42">
        <v>730928</v>
      </c>
      <c r="F85" s="43">
        <f t="shared" si="2"/>
        <v>1.8702252479040344E-3</v>
      </c>
      <c r="G85" s="60">
        <v>19.449384891535139</v>
      </c>
      <c r="H85" s="44">
        <v>39252</v>
      </c>
      <c r="I85" s="60" t="s">
        <v>581</v>
      </c>
    </row>
    <row r="86" spans="1:9" ht="14.25" customHeight="1" x14ac:dyDescent="0.3">
      <c r="A86" s="40" t="s">
        <v>15</v>
      </c>
      <c r="B86" s="41" t="s">
        <v>26</v>
      </c>
      <c r="C86" s="42">
        <v>4631</v>
      </c>
      <c r="D86" s="42">
        <v>317</v>
      </c>
      <c r="E86" s="42">
        <v>735242</v>
      </c>
      <c r="F86" s="43">
        <f t="shared" si="2"/>
        <v>5.8674558852731479E-3</v>
      </c>
      <c r="G86" s="60">
        <v>1.381177897889402</v>
      </c>
      <c r="H86" s="44">
        <v>17999</v>
      </c>
      <c r="I86" s="60" t="s">
        <v>581</v>
      </c>
    </row>
    <row r="87" spans="1:9" ht="14.25" customHeight="1" x14ac:dyDescent="0.3">
      <c r="A87" s="40" t="s">
        <v>15</v>
      </c>
      <c r="B87" s="41" t="s">
        <v>14</v>
      </c>
      <c r="C87" s="42">
        <v>8177</v>
      </c>
      <c r="D87" s="42">
        <v>849</v>
      </c>
      <c r="E87" s="42">
        <v>748744</v>
      </c>
      <c r="F87" s="43">
        <f t="shared" si="2"/>
        <v>9.7870567243276748E-3</v>
      </c>
      <c r="G87" s="60">
        <v>10.34986590877523</v>
      </c>
      <c r="H87" s="44">
        <v>52963</v>
      </c>
      <c r="I87" s="60" t="s">
        <v>581</v>
      </c>
    </row>
    <row r="88" spans="1:9" ht="14.25" customHeight="1" x14ac:dyDescent="0.3">
      <c r="A88" s="40" t="s">
        <v>541</v>
      </c>
      <c r="B88" s="41" t="s">
        <v>21</v>
      </c>
      <c r="C88" s="42">
        <v>9433</v>
      </c>
      <c r="D88" s="42">
        <v>1233</v>
      </c>
      <c r="E88" s="42">
        <v>756944</v>
      </c>
      <c r="F88" s="43">
        <f t="shared" si="2"/>
        <v>1.0833033883616226E-2</v>
      </c>
      <c r="G88" s="60">
        <v>11.391727789638329</v>
      </c>
      <c r="H88" s="44">
        <v>12096</v>
      </c>
      <c r="I88" s="60" t="s">
        <v>580</v>
      </c>
    </row>
    <row r="89" spans="1:9" ht="14.25" customHeight="1" x14ac:dyDescent="0.3">
      <c r="A89" s="40" t="s">
        <v>541</v>
      </c>
      <c r="B89" s="41" t="s">
        <v>26</v>
      </c>
      <c r="C89" s="42">
        <v>4897</v>
      </c>
      <c r="D89" s="42">
        <v>683</v>
      </c>
      <c r="E89" s="42">
        <v>761158</v>
      </c>
      <c r="F89" s="43">
        <f t="shared" si="2"/>
        <v>5.5363012672795921E-3</v>
      </c>
      <c r="G89" s="60">
        <v>15.06231294947961</v>
      </c>
      <c r="H89" s="44">
        <v>58201</v>
      </c>
      <c r="I89" s="60" t="s">
        <v>580</v>
      </c>
    </row>
    <row r="90" spans="1:9" ht="14.25" customHeight="1" x14ac:dyDescent="0.3">
      <c r="A90" s="40" t="s">
        <v>541</v>
      </c>
      <c r="B90" s="41" t="s">
        <v>53</v>
      </c>
      <c r="C90" s="42">
        <v>3279</v>
      </c>
      <c r="D90" s="42">
        <v>200</v>
      </c>
      <c r="E90" s="42">
        <v>772614</v>
      </c>
      <c r="F90" s="43">
        <f t="shared" si="2"/>
        <v>3.9851724146857288E-3</v>
      </c>
      <c r="G90" s="60">
        <v>5.0212654702089274</v>
      </c>
      <c r="H90" s="44">
        <v>53363</v>
      </c>
      <c r="I90" s="60" t="s">
        <v>580</v>
      </c>
    </row>
    <row r="91" spans="1:9" ht="14.25" customHeight="1" x14ac:dyDescent="0.3">
      <c r="A91" s="40" t="s">
        <v>107</v>
      </c>
      <c r="B91" s="41" t="s">
        <v>21</v>
      </c>
      <c r="C91" s="42">
        <v>9980</v>
      </c>
      <c r="D91" s="42">
        <v>726</v>
      </c>
      <c r="E91" s="42">
        <v>781868</v>
      </c>
      <c r="F91" s="43">
        <f t="shared" si="2"/>
        <v>1.1835757442432739E-2</v>
      </c>
      <c r="G91" s="60">
        <v>4.0220344099003924</v>
      </c>
      <c r="H91" s="44">
        <v>58709</v>
      </c>
      <c r="I91" s="60" t="s">
        <v>580</v>
      </c>
    </row>
    <row r="92" spans="1:9" ht="14.25" customHeight="1" x14ac:dyDescent="0.3">
      <c r="A92" s="40" t="s">
        <v>107</v>
      </c>
      <c r="B92" s="41" t="s">
        <v>53</v>
      </c>
      <c r="C92" s="42">
        <v>8451</v>
      </c>
      <c r="D92" s="42">
        <v>783</v>
      </c>
      <c r="E92" s="42">
        <v>789536</v>
      </c>
      <c r="F92" s="43">
        <f t="shared" si="2"/>
        <v>9.7120333968305442E-3</v>
      </c>
      <c r="G92" s="60">
        <v>12.407287318121019</v>
      </c>
      <c r="H92" s="44">
        <v>36201</v>
      </c>
      <c r="I92" s="60" t="s">
        <v>580</v>
      </c>
    </row>
    <row r="93" spans="1:9" ht="14.25" customHeight="1" x14ac:dyDescent="0.3">
      <c r="A93" s="40" t="s">
        <v>107</v>
      </c>
      <c r="B93" s="41" t="s">
        <v>14</v>
      </c>
      <c r="C93" s="42">
        <v>9906</v>
      </c>
      <c r="D93" s="42">
        <v>1305</v>
      </c>
      <c r="E93" s="42">
        <v>798137</v>
      </c>
      <c r="F93" s="43">
        <f t="shared" si="2"/>
        <v>1.0776345414383746E-2</v>
      </c>
      <c r="G93" s="60">
        <v>9.1811305577864442</v>
      </c>
      <c r="H93" s="44">
        <v>29715</v>
      </c>
      <c r="I93" s="60" t="s">
        <v>580</v>
      </c>
    </row>
    <row r="94" spans="1:9" ht="14.25" customHeight="1" x14ac:dyDescent="0.3">
      <c r="A94" s="40" t="s">
        <v>542</v>
      </c>
      <c r="B94" s="41" t="s">
        <v>21</v>
      </c>
      <c r="C94" s="42">
        <v>7869</v>
      </c>
      <c r="D94" s="42">
        <v>398</v>
      </c>
      <c r="E94" s="42">
        <v>807142</v>
      </c>
      <c r="F94" s="43">
        <f t="shared" si="2"/>
        <v>9.2561160241940079E-3</v>
      </c>
      <c r="G94" s="60">
        <v>15.211945357818079</v>
      </c>
      <c r="H94" s="44">
        <v>25078</v>
      </c>
      <c r="I94" s="61"/>
    </row>
    <row r="95" spans="1:9" ht="14.25" customHeight="1" x14ac:dyDescent="0.3">
      <c r="A95" s="40" t="s">
        <v>542</v>
      </c>
      <c r="B95" s="41" t="s">
        <v>26</v>
      </c>
      <c r="C95" s="42">
        <v>3247</v>
      </c>
      <c r="D95" s="42">
        <v>328</v>
      </c>
      <c r="E95" s="42">
        <v>810061</v>
      </c>
      <c r="F95" s="43">
        <f t="shared" si="2"/>
        <v>3.6034323341081723E-3</v>
      </c>
      <c r="G95" s="60">
        <v>13.941172331466399</v>
      </c>
      <c r="H95" s="44">
        <v>15105</v>
      </c>
      <c r="I95" s="61"/>
    </row>
    <row r="96" spans="1:9" ht="14.25" customHeight="1" x14ac:dyDescent="0.3">
      <c r="A96" s="40" t="s">
        <v>542</v>
      </c>
      <c r="B96" s="41" t="s">
        <v>53</v>
      </c>
      <c r="C96" s="42">
        <v>8088</v>
      </c>
      <c r="D96" s="42">
        <v>742</v>
      </c>
      <c r="E96" s="42">
        <v>817407</v>
      </c>
      <c r="F96" s="43">
        <f t="shared" si="2"/>
        <v>8.9869550909155421E-3</v>
      </c>
      <c r="G96" s="60">
        <v>14.664542877660701</v>
      </c>
      <c r="H96" s="44">
        <v>39312</v>
      </c>
      <c r="I96" s="61"/>
    </row>
    <row r="97" spans="1:9" ht="14.25" customHeight="1" x14ac:dyDescent="0.3">
      <c r="A97" s="40" t="s">
        <v>542</v>
      </c>
      <c r="B97" s="41" t="s">
        <v>14</v>
      </c>
      <c r="C97" s="42">
        <v>1078</v>
      </c>
      <c r="D97" s="42">
        <v>77</v>
      </c>
      <c r="E97" s="42">
        <v>818408</v>
      </c>
      <c r="F97" s="43">
        <f t="shared" si="2"/>
        <v>1.2231063234963489E-3</v>
      </c>
      <c r="G97" s="60">
        <v>18.236747441373989</v>
      </c>
      <c r="H97" s="44">
        <v>12839</v>
      </c>
      <c r="I97" s="61"/>
    </row>
    <row r="98" spans="1:9" ht="14.25" customHeight="1" x14ac:dyDescent="0.3">
      <c r="A98" s="40" t="s">
        <v>543</v>
      </c>
      <c r="B98" s="41" t="s">
        <v>53</v>
      </c>
      <c r="C98" s="42">
        <v>9080</v>
      </c>
      <c r="D98" s="42">
        <v>562</v>
      </c>
      <c r="E98" s="42">
        <v>826926</v>
      </c>
      <c r="F98" s="43">
        <f t="shared" si="2"/>
        <v>1.0300800797169276E-2</v>
      </c>
      <c r="G98" s="60">
        <v>7.1083748727213809</v>
      </c>
      <c r="H98" s="44">
        <v>13384</v>
      </c>
      <c r="I98" s="61"/>
    </row>
    <row r="99" spans="1:9" ht="14.25" customHeight="1" x14ac:dyDescent="0.3">
      <c r="A99" s="40" t="s">
        <v>543</v>
      </c>
      <c r="B99" s="41" t="s">
        <v>14</v>
      </c>
      <c r="C99" s="42">
        <v>8340</v>
      </c>
      <c r="D99" s="42">
        <v>686</v>
      </c>
      <c r="E99" s="42">
        <v>846217</v>
      </c>
      <c r="F99" s="43">
        <f t="shared" si="2"/>
        <v>9.0449612806171465E-3</v>
      </c>
      <c r="G99" s="60">
        <v>7.201344336027284</v>
      </c>
      <c r="H99" s="44">
        <v>23493</v>
      </c>
      <c r="I99" s="61"/>
    </row>
    <row r="100" spans="1:9" ht="14.25" customHeight="1" x14ac:dyDescent="0.3">
      <c r="A100" s="40" t="s">
        <v>190</v>
      </c>
      <c r="B100" s="41" t="s">
        <v>21</v>
      </c>
      <c r="C100" s="42">
        <v>8083</v>
      </c>
      <c r="D100" s="42">
        <v>823</v>
      </c>
      <c r="E100" s="42">
        <v>853477</v>
      </c>
      <c r="F100" s="43">
        <f t="shared" si="2"/>
        <v>8.5063803711172073E-3</v>
      </c>
      <c r="G100" s="60">
        <v>4.6300017457998282</v>
      </c>
      <c r="H100" s="44">
        <v>27069</v>
      </c>
      <c r="I100" s="61"/>
    </row>
    <row r="101" spans="1:9" ht="14.25" customHeight="1" x14ac:dyDescent="0.3">
      <c r="A101" s="40" t="s">
        <v>190</v>
      </c>
      <c r="B101" s="41" t="s">
        <v>53</v>
      </c>
      <c r="C101" s="42">
        <v>7230</v>
      </c>
      <c r="D101" s="42">
        <v>869</v>
      </c>
      <c r="E101" s="42">
        <v>859838</v>
      </c>
      <c r="F101" s="43">
        <f t="shared" si="2"/>
        <v>7.397905186791E-3</v>
      </c>
      <c r="G101" s="60">
        <v>7.0117859410726204</v>
      </c>
      <c r="H101" s="44">
        <v>56907</v>
      </c>
      <c r="I101" s="61"/>
    </row>
    <row r="102" spans="1:9" ht="14.25" customHeight="1" x14ac:dyDescent="0.3">
      <c r="A102" s="40" t="s">
        <v>190</v>
      </c>
      <c r="B102" s="41" t="s">
        <v>26</v>
      </c>
      <c r="C102" s="42">
        <v>4271</v>
      </c>
      <c r="D102" s="42">
        <v>628</v>
      </c>
      <c r="E102" s="42">
        <v>868909</v>
      </c>
      <c r="F102" s="43">
        <f t="shared" si="2"/>
        <v>4.1926139561219876E-3</v>
      </c>
      <c r="G102" s="60">
        <v>11.124410036033691</v>
      </c>
      <c r="H102" s="44">
        <v>47051</v>
      </c>
      <c r="I102" s="61"/>
    </row>
    <row r="103" spans="1:9" ht="14.25" customHeight="1" x14ac:dyDescent="0.3">
      <c r="A103" s="40" t="s">
        <v>544</v>
      </c>
      <c r="B103" s="41" t="s">
        <v>14</v>
      </c>
      <c r="C103" s="42">
        <v>4456</v>
      </c>
      <c r="D103" s="42">
        <v>651</v>
      </c>
      <c r="E103" s="42">
        <v>872714</v>
      </c>
      <c r="F103" s="43">
        <f t="shared" si="2"/>
        <v>4.3599621410908961E-3</v>
      </c>
      <c r="G103" s="60">
        <v>9.5052903929580594</v>
      </c>
      <c r="H103" s="44">
        <v>17736</v>
      </c>
      <c r="I103" s="60" t="s">
        <v>583</v>
      </c>
    </row>
    <row r="104" spans="1:9" ht="14.25" customHeight="1" x14ac:dyDescent="0.3">
      <c r="A104" s="40" t="s">
        <v>544</v>
      </c>
      <c r="B104" s="41" t="s">
        <v>53</v>
      </c>
      <c r="C104" s="42">
        <v>8788</v>
      </c>
      <c r="D104" s="42">
        <v>660</v>
      </c>
      <c r="E104" s="42">
        <v>880842</v>
      </c>
      <c r="F104" s="43">
        <f t="shared" si="2"/>
        <v>9.2275345635199051E-3</v>
      </c>
      <c r="G104" s="60">
        <v>3.7175793161543158</v>
      </c>
      <c r="H104" s="44">
        <v>17710</v>
      </c>
      <c r="I104" s="60" t="s">
        <v>583</v>
      </c>
    </row>
    <row r="105" spans="1:9" ht="14.25" customHeight="1" x14ac:dyDescent="0.3">
      <c r="A105" s="40" t="s">
        <v>448</v>
      </c>
      <c r="B105" s="41" t="s">
        <v>21</v>
      </c>
      <c r="C105" s="42">
        <v>3711</v>
      </c>
      <c r="D105" s="42">
        <v>291</v>
      </c>
      <c r="E105" s="42">
        <v>900862</v>
      </c>
      <c r="F105" s="43">
        <f t="shared" si="2"/>
        <v>3.7963639269943676E-3</v>
      </c>
      <c r="G105" s="60">
        <v>14.24879726306582</v>
      </c>
      <c r="H105" s="44">
        <v>55603</v>
      </c>
      <c r="I105" s="60" t="s">
        <v>583</v>
      </c>
    </row>
    <row r="106" spans="1:9" ht="14.25" customHeight="1" x14ac:dyDescent="0.3">
      <c r="A106" s="40" t="s">
        <v>448</v>
      </c>
      <c r="B106" s="41" t="s">
        <v>53</v>
      </c>
      <c r="C106" s="42">
        <v>1147</v>
      </c>
      <c r="D106" s="42">
        <v>127</v>
      </c>
      <c r="E106" s="42">
        <v>904407</v>
      </c>
      <c r="F106" s="43">
        <f t="shared" si="2"/>
        <v>1.1278108196862695E-3</v>
      </c>
      <c r="G106" s="60">
        <v>1.3997016829812241</v>
      </c>
      <c r="H106" s="44">
        <v>25261</v>
      </c>
      <c r="I106" s="60" t="s">
        <v>583</v>
      </c>
    </row>
    <row r="107" spans="1:9" ht="14.25" customHeight="1" x14ac:dyDescent="0.3">
      <c r="A107" s="40" t="s">
        <v>109</v>
      </c>
      <c r="B107" s="41" t="s">
        <v>53</v>
      </c>
      <c r="C107" s="42">
        <v>1365</v>
      </c>
      <c r="D107" s="42">
        <v>75</v>
      </c>
      <c r="E107" s="42">
        <v>912374</v>
      </c>
      <c r="F107" s="43">
        <f t="shared" si="2"/>
        <v>1.4138938637006315E-3</v>
      </c>
      <c r="G107" s="60">
        <v>9.2688963078737441</v>
      </c>
      <c r="H107" s="44">
        <v>19067</v>
      </c>
      <c r="I107" s="60" t="s">
        <v>583</v>
      </c>
    </row>
    <row r="108" spans="1:9" ht="14.25" customHeight="1" x14ac:dyDescent="0.3">
      <c r="A108" s="40" t="s">
        <v>109</v>
      </c>
      <c r="B108" s="41" t="s">
        <v>21</v>
      </c>
      <c r="C108" s="42">
        <v>5531</v>
      </c>
      <c r="D108" s="42">
        <v>430</v>
      </c>
      <c r="E108" s="42">
        <v>917475</v>
      </c>
      <c r="F108" s="43">
        <f>(C108-D108)/E108</f>
        <v>5.5598245183792472E-3</v>
      </c>
      <c r="G108" s="60">
        <v>2.7289026948963189</v>
      </c>
      <c r="H108" s="44">
        <v>47481</v>
      </c>
      <c r="I108" s="60" t="s">
        <v>583</v>
      </c>
    </row>
    <row r="109" spans="1:9" ht="14.25" customHeight="1" x14ac:dyDescent="0.3">
      <c r="A109" s="40" t="s">
        <v>109</v>
      </c>
      <c r="B109" s="41" t="s">
        <v>26</v>
      </c>
      <c r="C109" s="42">
        <v>6330</v>
      </c>
      <c r="D109" s="42">
        <v>891</v>
      </c>
      <c r="E109" s="42">
        <v>922914</v>
      </c>
      <c r="F109" s="43">
        <f t="shared" ref="F109:F125" si="3">(C109-D109)/E109</f>
        <v>5.8932901657142486E-3</v>
      </c>
      <c r="G109" s="60">
        <v>14.789893749580139</v>
      </c>
      <c r="H109" s="44">
        <v>37037</v>
      </c>
      <c r="I109" s="60" t="s">
        <v>583</v>
      </c>
    </row>
    <row r="110" spans="1:9" ht="14.25" customHeight="1" x14ac:dyDescent="0.3">
      <c r="A110" s="40" t="s">
        <v>122</v>
      </c>
      <c r="B110" s="41" t="s">
        <v>26</v>
      </c>
      <c r="C110" s="42">
        <v>9754</v>
      </c>
      <c r="D110" s="42">
        <v>629</v>
      </c>
      <c r="E110" s="42">
        <v>938068</v>
      </c>
      <c r="F110" s="43">
        <f t="shared" si="3"/>
        <v>9.7274398018054129E-3</v>
      </c>
      <c r="G110" s="60">
        <v>3.4123325814333292</v>
      </c>
      <c r="H110" s="44">
        <v>19435</v>
      </c>
      <c r="I110" s="60" t="s">
        <v>583</v>
      </c>
    </row>
    <row r="111" spans="1:9" ht="14.25" customHeight="1" x14ac:dyDescent="0.3">
      <c r="A111" s="40" t="s">
        <v>122</v>
      </c>
      <c r="B111" s="41" t="s">
        <v>14</v>
      </c>
      <c r="C111" s="42">
        <v>9964</v>
      </c>
      <c r="D111" s="42">
        <v>985</v>
      </c>
      <c r="E111" s="42">
        <v>947047</v>
      </c>
      <c r="F111" s="43">
        <f t="shared" si="3"/>
        <v>9.4810500429228957E-3</v>
      </c>
      <c r="G111" s="60">
        <v>1.9837452629066989</v>
      </c>
      <c r="H111" s="44">
        <v>47766</v>
      </c>
      <c r="I111" s="60" t="s">
        <v>583</v>
      </c>
    </row>
    <row r="112" spans="1:9" ht="14.25" customHeight="1" x14ac:dyDescent="0.3">
      <c r="A112" s="40" t="s">
        <v>166</v>
      </c>
      <c r="B112" s="41" t="s">
        <v>14</v>
      </c>
      <c r="C112" s="42">
        <v>7511</v>
      </c>
      <c r="D112" s="42">
        <v>880</v>
      </c>
      <c r="E112" s="42">
        <v>966020</v>
      </c>
      <c r="F112" s="43">
        <f t="shared" si="3"/>
        <v>6.8642471170369144E-3</v>
      </c>
      <c r="G112" s="60">
        <v>4.6083932009689246</v>
      </c>
      <c r="H112" s="44">
        <v>29675</v>
      </c>
      <c r="I112" s="60" t="s">
        <v>582</v>
      </c>
    </row>
    <row r="113" spans="1:9" ht="14.25" customHeight="1" x14ac:dyDescent="0.3">
      <c r="A113" s="40" t="s">
        <v>166</v>
      </c>
      <c r="B113" s="41" t="s">
        <v>21</v>
      </c>
      <c r="C113" s="42">
        <v>8504</v>
      </c>
      <c r="D113" s="42">
        <v>1072</v>
      </c>
      <c r="E113" s="42">
        <v>973452</v>
      </c>
      <c r="F113" s="43">
        <f t="shared" si="3"/>
        <v>7.6346856342171983E-3</v>
      </c>
      <c r="G113" s="60">
        <v>6.5651927367759271</v>
      </c>
      <c r="H113" s="44">
        <v>18461</v>
      </c>
      <c r="I113" s="60" t="s">
        <v>582</v>
      </c>
    </row>
    <row r="114" spans="1:9" ht="14.25" customHeight="1" x14ac:dyDescent="0.3">
      <c r="A114" s="40" t="s">
        <v>166</v>
      </c>
      <c r="B114" s="41" t="s">
        <v>53</v>
      </c>
      <c r="C114" s="42">
        <v>2246</v>
      </c>
      <c r="D114" s="42">
        <v>165</v>
      </c>
      <c r="E114" s="42">
        <v>975533</v>
      </c>
      <c r="F114" s="43">
        <f t="shared" si="3"/>
        <v>2.1331928289458173E-3</v>
      </c>
      <c r="G114" s="60">
        <v>2.9062061457685191</v>
      </c>
      <c r="H114" s="44">
        <v>27015</v>
      </c>
      <c r="I114" s="60" t="s">
        <v>582</v>
      </c>
    </row>
    <row r="115" spans="1:9" ht="14.25" customHeight="1" x14ac:dyDescent="0.3">
      <c r="A115" s="40" t="s">
        <v>545</v>
      </c>
      <c r="B115" s="41" t="s">
        <v>53</v>
      </c>
      <c r="C115" s="42">
        <v>9551</v>
      </c>
      <c r="D115" s="42">
        <v>828</v>
      </c>
      <c r="E115" s="42">
        <v>988501</v>
      </c>
      <c r="F115" s="43">
        <f t="shared" si="3"/>
        <v>8.8244726105487E-3</v>
      </c>
      <c r="G115" s="60">
        <v>1.525036393488727</v>
      </c>
      <c r="H115" s="44">
        <v>38047</v>
      </c>
      <c r="I115" s="60" t="s">
        <v>582</v>
      </c>
    </row>
    <row r="116" spans="1:9" ht="14.25" customHeight="1" x14ac:dyDescent="0.3">
      <c r="A116" s="40" t="s">
        <v>545</v>
      </c>
      <c r="B116" s="41" t="s">
        <v>26</v>
      </c>
      <c r="C116" s="42">
        <v>3376</v>
      </c>
      <c r="D116" s="42">
        <v>382</v>
      </c>
      <c r="E116" s="42">
        <v>991495</v>
      </c>
      <c r="F116" s="43">
        <f t="shared" si="3"/>
        <v>3.0196823988018094E-3</v>
      </c>
      <c r="G116" s="60">
        <v>3.8694093263203548</v>
      </c>
      <c r="H116" s="44">
        <v>44782</v>
      </c>
      <c r="I116" s="60" t="s">
        <v>582</v>
      </c>
    </row>
    <row r="117" spans="1:9" ht="14.25" customHeight="1" x14ac:dyDescent="0.3">
      <c r="A117" s="40" t="s">
        <v>545</v>
      </c>
      <c r="B117" s="41" t="s">
        <v>14</v>
      </c>
      <c r="C117" s="42">
        <v>4009</v>
      </c>
      <c r="D117" s="42">
        <v>454</v>
      </c>
      <c r="E117" s="42">
        <v>995050</v>
      </c>
      <c r="F117" s="43">
        <f t="shared" si="3"/>
        <v>3.5726847897090599E-3</v>
      </c>
      <c r="G117" s="60">
        <v>2.1106477061454201</v>
      </c>
      <c r="H117" s="44">
        <v>19833</v>
      </c>
      <c r="I117" s="60" t="s">
        <v>582</v>
      </c>
    </row>
    <row r="118" spans="1:9" ht="14.25" customHeight="1" x14ac:dyDescent="0.3">
      <c r="A118" s="40" t="s">
        <v>545</v>
      </c>
      <c r="B118" s="41" t="s">
        <v>21</v>
      </c>
      <c r="C118" s="42">
        <v>2827</v>
      </c>
      <c r="D118" s="42">
        <v>292</v>
      </c>
      <c r="E118" s="42">
        <v>997585</v>
      </c>
      <c r="F118" s="43">
        <f t="shared" si="3"/>
        <v>2.5411368454818384E-3</v>
      </c>
      <c r="G118" s="60">
        <v>2.4004972007397871</v>
      </c>
      <c r="H118" s="44">
        <v>17896</v>
      </c>
      <c r="I118" s="60" t="s">
        <v>582</v>
      </c>
    </row>
    <row r="119" spans="1:9" ht="14.25" customHeight="1" x14ac:dyDescent="0.3">
      <c r="A119" s="40" t="s">
        <v>546</v>
      </c>
      <c r="B119" s="41" t="s">
        <v>21</v>
      </c>
      <c r="C119" s="42">
        <v>7979</v>
      </c>
      <c r="D119" s="42">
        <v>470</v>
      </c>
      <c r="E119" s="42">
        <v>1005094</v>
      </c>
      <c r="F119" s="43">
        <f t="shared" si="3"/>
        <v>7.4709430162750948E-3</v>
      </c>
      <c r="G119" s="60">
        <v>10.43086517280971</v>
      </c>
      <c r="H119" s="44">
        <v>42972</v>
      </c>
      <c r="I119" s="60" t="s">
        <v>582</v>
      </c>
    </row>
    <row r="120" spans="1:9" ht="14.25" customHeight="1" x14ac:dyDescent="0.3">
      <c r="A120" s="40" t="s">
        <v>546</v>
      </c>
      <c r="B120" s="41" t="s">
        <v>26</v>
      </c>
      <c r="C120" s="42">
        <v>9569</v>
      </c>
      <c r="D120" s="42">
        <v>1277</v>
      </c>
      <c r="E120" s="42">
        <v>1013386</v>
      </c>
      <c r="F120" s="43">
        <f t="shared" si="3"/>
        <v>8.1824694637581338E-3</v>
      </c>
      <c r="G120" s="60">
        <v>12.45517502708741</v>
      </c>
      <c r="H120" s="44">
        <v>59733</v>
      </c>
      <c r="I120" s="60" t="s">
        <v>582</v>
      </c>
    </row>
    <row r="121" spans="1:9" ht="14.25" customHeight="1" x14ac:dyDescent="0.3">
      <c r="A121" s="40" t="s">
        <v>349</v>
      </c>
      <c r="B121" s="41" t="s">
        <v>21</v>
      </c>
      <c r="C121" s="42">
        <v>9561</v>
      </c>
      <c r="D121" s="42">
        <v>517</v>
      </c>
      <c r="E121" s="42">
        <v>1034649</v>
      </c>
      <c r="F121" s="43">
        <f t="shared" si="3"/>
        <v>8.741128633961856E-3</v>
      </c>
      <c r="G121" s="60">
        <v>6.4086467971263694</v>
      </c>
      <c r="H121" s="44">
        <v>15347</v>
      </c>
      <c r="I121" s="60" t="s">
        <v>582</v>
      </c>
    </row>
    <row r="122" spans="1:9" ht="14.25" customHeight="1" x14ac:dyDescent="0.3">
      <c r="A122" s="40" t="s">
        <v>349</v>
      </c>
      <c r="B122" s="41" t="s">
        <v>14</v>
      </c>
      <c r="C122" s="42">
        <v>4747</v>
      </c>
      <c r="D122" s="42">
        <v>558</v>
      </c>
      <c r="E122" s="42">
        <v>1041686</v>
      </c>
      <c r="F122" s="43">
        <f t="shared" si="3"/>
        <v>4.021365363458854E-3</v>
      </c>
      <c r="G122" s="60">
        <v>5.7680529449373434</v>
      </c>
      <c r="H122" s="44">
        <v>12643</v>
      </c>
      <c r="I122" s="60" t="s">
        <v>582</v>
      </c>
    </row>
    <row r="123" spans="1:9" ht="14.25" customHeight="1" x14ac:dyDescent="0.3">
      <c r="A123" s="40" t="s">
        <v>547</v>
      </c>
      <c r="B123" s="41" t="s">
        <v>53</v>
      </c>
      <c r="C123" s="42">
        <v>6978</v>
      </c>
      <c r="D123" s="42">
        <v>706</v>
      </c>
      <c r="E123" s="42">
        <v>1057293</v>
      </c>
      <c r="F123" s="43">
        <f t="shared" si="3"/>
        <v>5.9321304501212058E-3</v>
      </c>
      <c r="G123" s="60">
        <v>5.057443868445171</v>
      </c>
      <c r="H123" s="44">
        <v>28681</v>
      </c>
      <c r="I123" s="60" t="s">
        <v>582</v>
      </c>
    </row>
    <row r="124" spans="1:9" ht="14.25" customHeight="1" x14ac:dyDescent="0.3">
      <c r="A124" s="40" t="s">
        <v>547</v>
      </c>
      <c r="B124" s="41" t="s">
        <v>26</v>
      </c>
      <c r="C124" s="42">
        <v>6607</v>
      </c>
      <c r="D124" s="42">
        <v>479</v>
      </c>
      <c r="E124" s="42">
        <v>1063421</v>
      </c>
      <c r="F124" s="43">
        <f t="shared" si="3"/>
        <v>5.7625343114345116E-3</v>
      </c>
      <c r="G124" s="60">
        <v>5.5892257158735816</v>
      </c>
      <c r="H124" s="44">
        <v>48328</v>
      </c>
      <c r="I124" s="60" t="s">
        <v>582</v>
      </c>
    </row>
    <row r="125" spans="1:9" ht="14.25" customHeight="1" x14ac:dyDescent="0.3">
      <c r="A125" s="40" t="s">
        <v>547</v>
      </c>
      <c r="B125" s="41" t="s">
        <v>14</v>
      </c>
      <c r="C125" s="42">
        <v>1769</v>
      </c>
      <c r="D125" s="42">
        <v>202</v>
      </c>
      <c r="E125" s="42">
        <v>1064988</v>
      </c>
      <c r="F125" s="43">
        <f t="shared" si="3"/>
        <v>1.4713780812553757E-3</v>
      </c>
      <c r="G125" s="60">
        <v>6.5457075572682513</v>
      </c>
      <c r="H125" s="44">
        <v>25892</v>
      </c>
      <c r="I125" s="60" t="s">
        <v>582</v>
      </c>
    </row>
    <row r="126" spans="1:9" ht="14.25" customHeight="1" x14ac:dyDescent="0.3">
      <c r="A126" s="40" t="s">
        <v>547</v>
      </c>
      <c r="B126" s="41" t="s">
        <v>21</v>
      </c>
      <c r="C126" s="42">
        <v>1780</v>
      </c>
      <c r="D126" s="42">
        <v>120</v>
      </c>
      <c r="E126" s="42">
        <v>1066648</v>
      </c>
      <c r="F126" s="43">
        <f>(C126-D126)/E126</f>
        <v>1.55627723485161E-3</v>
      </c>
      <c r="G126" s="60">
        <v>13.86474263299608</v>
      </c>
      <c r="H126" s="44">
        <v>57299</v>
      </c>
      <c r="I126" s="60" t="s">
        <v>582</v>
      </c>
    </row>
    <row r="127" spans="1:9" ht="14.25" customHeight="1" x14ac:dyDescent="0.3">
      <c r="A127" s="40" t="s">
        <v>364</v>
      </c>
      <c r="B127" s="41" t="s">
        <v>14</v>
      </c>
      <c r="C127" s="42">
        <v>7303</v>
      </c>
      <c r="D127" s="42">
        <v>869</v>
      </c>
      <c r="E127" s="42">
        <v>1073082</v>
      </c>
      <c r="F127" s="43">
        <f t="shared" ref="F127:F141" si="4">(C127-D127)/E127</f>
        <v>5.9958139266151145E-3</v>
      </c>
      <c r="G127" s="60">
        <v>8.1237966902808925</v>
      </c>
      <c r="H127" s="44">
        <v>27073</v>
      </c>
      <c r="I127" s="61"/>
    </row>
    <row r="128" spans="1:9" ht="14.25" customHeight="1" x14ac:dyDescent="0.3">
      <c r="A128" s="40" t="s">
        <v>364</v>
      </c>
      <c r="B128" s="41" t="s">
        <v>21</v>
      </c>
      <c r="C128" s="42">
        <v>4983</v>
      </c>
      <c r="D128" s="42">
        <v>441</v>
      </c>
      <c r="E128" s="42">
        <v>1077624</v>
      </c>
      <c r="F128" s="43">
        <f t="shared" si="4"/>
        <v>4.2148281775461569E-3</v>
      </c>
      <c r="G128" s="60">
        <v>6.8954477628560609</v>
      </c>
      <c r="H128" s="44">
        <v>46768</v>
      </c>
      <c r="I128" s="61"/>
    </row>
    <row r="129" spans="1:9" ht="14.25" customHeight="1" x14ac:dyDescent="0.3">
      <c r="A129" s="40" t="s">
        <v>364</v>
      </c>
      <c r="B129" s="41" t="s">
        <v>53</v>
      </c>
      <c r="C129" s="42">
        <v>9714</v>
      </c>
      <c r="D129" s="42">
        <v>1395</v>
      </c>
      <c r="E129" s="42">
        <v>1085943</v>
      </c>
      <c r="F129" s="43">
        <f t="shared" si="4"/>
        <v>7.6606230713766746E-3</v>
      </c>
      <c r="G129" s="60">
        <v>5.2243073531483697</v>
      </c>
      <c r="H129" s="44">
        <v>40682</v>
      </c>
      <c r="I129" s="61"/>
    </row>
    <row r="130" spans="1:9" ht="14.25" customHeight="1" x14ac:dyDescent="0.3">
      <c r="A130" s="40" t="s">
        <v>364</v>
      </c>
      <c r="B130" s="41" t="s">
        <v>26</v>
      </c>
      <c r="C130" s="42">
        <v>1521</v>
      </c>
      <c r="D130" s="42">
        <v>96</v>
      </c>
      <c r="E130" s="42">
        <v>1087368</v>
      </c>
      <c r="F130" s="43">
        <f t="shared" si="4"/>
        <v>1.3105038956452645E-3</v>
      </c>
      <c r="G130" s="60">
        <v>12.709772588488899</v>
      </c>
      <c r="H130" s="44">
        <v>42262</v>
      </c>
      <c r="I130" s="61"/>
    </row>
    <row r="131" spans="1:9" ht="14.25" customHeight="1" x14ac:dyDescent="0.3">
      <c r="A131" s="40" t="s">
        <v>548</v>
      </c>
      <c r="B131" s="41" t="s">
        <v>21</v>
      </c>
      <c r="C131" s="42">
        <v>8569</v>
      </c>
      <c r="D131" s="42">
        <v>720</v>
      </c>
      <c r="E131" s="42">
        <v>1095217</v>
      </c>
      <c r="F131" s="43">
        <f t="shared" si="4"/>
        <v>7.1666162961312686E-3</v>
      </c>
      <c r="G131" s="60">
        <v>9.589697749395782</v>
      </c>
      <c r="H131" s="44">
        <v>41358</v>
      </c>
      <c r="I131" s="61"/>
    </row>
    <row r="132" spans="1:9" ht="14.25" customHeight="1" x14ac:dyDescent="0.3">
      <c r="A132" s="40" t="s">
        <v>549</v>
      </c>
      <c r="B132" s="41" t="s">
        <v>26</v>
      </c>
      <c r="C132" s="42">
        <v>5941</v>
      </c>
      <c r="D132" s="42">
        <v>450</v>
      </c>
      <c r="E132" s="42">
        <v>1117854</v>
      </c>
      <c r="F132" s="43">
        <f t="shared" si="4"/>
        <v>4.9120904876665469E-3</v>
      </c>
      <c r="G132" s="60">
        <v>12.414411899944</v>
      </c>
      <c r="H132" s="44">
        <v>58330</v>
      </c>
      <c r="I132" s="61"/>
    </row>
    <row r="133" spans="1:9" ht="14.25" customHeight="1" x14ac:dyDescent="0.3">
      <c r="A133" s="40" t="s">
        <v>549</v>
      </c>
      <c r="B133" s="41" t="s">
        <v>53</v>
      </c>
      <c r="C133" s="42">
        <v>8128</v>
      </c>
      <c r="D133" s="42">
        <v>1070</v>
      </c>
      <c r="E133" s="42">
        <v>1131337</v>
      </c>
      <c r="F133" s="43">
        <f t="shared" si="4"/>
        <v>6.2386362330587612E-3</v>
      </c>
      <c r="G133" s="60">
        <v>8.1114645768679008</v>
      </c>
      <c r="H133" s="44">
        <v>21918</v>
      </c>
      <c r="I133" s="61"/>
    </row>
    <row r="134" spans="1:9" ht="14.25" customHeight="1" x14ac:dyDescent="0.3">
      <c r="A134" s="40" t="s">
        <v>322</v>
      </c>
      <c r="B134" s="41" t="s">
        <v>21</v>
      </c>
      <c r="C134" s="42">
        <v>1685</v>
      </c>
      <c r="D134" s="42">
        <v>173</v>
      </c>
      <c r="E134" s="42">
        <v>1135945</v>
      </c>
      <c r="F134" s="43">
        <f t="shared" si="4"/>
        <v>1.331050358952238E-3</v>
      </c>
      <c r="G134" s="60">
        <v>8.7776256772995165</v>
      </c>
      <c r="H134" s="44">
        <v>49110</v>
      </c>
      <c r="I134" s="61"/>
    </row>
    <row r="135" spans="1:9" ht="14.25" customHeight="1" x14ac:dyDescent="0.3">
      <c r="A135" s="40" t="s">
        <v>322</v>
      </c>
      <c r="B135" s="41" t="s">
        <v>53</v>
      </c>
      <c r="C135" s="42">
        <v>3160</v>
      </c>
      <c r="D135" s="42">
        <v>234</v>
      </c>
      <c r="E135" s="42">
        <v>1138871</v>
      </c>
      <c r="F135" s="43">
        <f t="shared" si="4"/>
        <v>2.5692110871204906E-3</v>
      </c>
      <c r="G135" s="60">
        <v>5.6959041015180816</v>
      </c>
      <c r="H135" s="44">
        <v>21929</v>
      </c>
      <c r="I135" s="61"/>
    </row>
    <row r="136" spans="1:9" ht="14.25" customHeight="1" x14ac:dyDescent="0.3">
      <c r="A136" s="40" t="s">
        <v>69</v>
      </c>
      <c r="B136" s="41" t="s">
        <v>21</v>
      </c>
      <c r="C136" s="42">
        <v>1038</v>
      </c>
      <c r="D136" s="42">
        <v>145</v>
      </c>
      <c r="E136" s="42">
        <v>1152775</v>
      </c>
      <c r="F136" s="43">
        <f t="shared" si="4"/>
        <v>7.7465246904209403E-4</v>
      </c>
      <c r="G136" s="60">
        <v>11.093752033137431</v>
      </c>
      <c r="H136" s="44">
        <v>55951</v>
      </c>
      <c r="I136" s="61"/>
    </row>
    <row r="137" spans="1:9" ht="14.25" customHeight="1" x14ac:dyDescent="0.3">
      <c r="A137" s="40" t="s">
        <v>69</v>
      </c>
      <c r="B137" s="41" t="s">
        <v>14</v>
      </c>
      <c r="C137" s="42">
        <v>5875</v>
      </c>
      <c r="D137" s="42">
        <v>665</v>
      </c>
      <c r="E137" s="42">
        <v>1157985</v>
      </c>
      <c r="F137" s="43">
        <f t="shared" si="4"/>
        <v>4.4991947218659999E-3</v>
      </c>
      <c r="G137" s="60">
        <v>6.9871371390821126</v>
      </c>
      <c r="H137" s="44">
        <v>32669</v>
      </c>
      <c r="I137" s="61"/>
    </row>
    <row r="138" spans="1:9" ht="14.25" customHeight="1" x14ac:dyDescent="0.3">
      <c r="A138" s="40" t="s">
        <v>69</v>
      </c>
      <c r="B138" s="41" t="s">
        <v>26</v>
      </c>
      <c r="C138" s="42">
        <v>8697</v>
      </c>
      <c r="D138" s="42">
        <v>738</v>
      </c>
      <c r="E138" s="42">
        <v>1168011</v>
      </c>
      <c r="F138" s="43">
        <f t="shared" si="4"/>
        <v>6.8141481544266276E-3</v>
      </c>
      <c r="G138" s="60">
        <v>3.8777032065622672</v>
      </c>
      <c r="H138" s="44">
        <v>30644</v>
      </c>
      <c r="I138" s="61"/>
    </row>
    <row r="139" spans="1:9" ht="14.25" customHeight="1" x14ac:dyDescent="0.3">
      <c r="A139" s="40" t="s">
        <v>27</v>
      </c>
      <c r="B139" s="41" t="s">
        <v>26</v>
      </c>
      <c r="C139" s="42">
        <v>3196</v>
      </c>
      <c r="D139" s="42">
        <v>391</v>
      </c>
      <c r="E139" s="42">
        <v>1170816</v>
      </c>
      <c r="F139" s="43">
        <f t="shared" si="4"/>
        <v>2.3957650049196456E-3</v>
      </c>
      <c r="G139" s="60">
        <v>7.2439221876024931</v>
      </c>
      <c r="H139" s="44">
        <v>28745</v>
      </c>
      <c r="I139" s="61"/>
    </row>
    <row r="140" spans="1:9" ht="14.25" customHeight="1" x14ac:dyDescent="0.3">
      <c r="A140" s="40" t="s">
        <v>27</v>
      </c>
      <c r="B140" s="41" t="s">
        <v>21</v>
      </c>
      <c r="C140" s="42">
        <v>8165</v>
      </c>
      <c r="D140" s="42">
        <v>1140</v>
      </c>
      <c r="E140" s="42">
        <v>1177841</v>
      </c>
      <c r="F140" s="43">
        <f t="shared" si="4"/>
        <v>5.9643024822535473E-3</v>
      </c>
      <c r="G140" s="60">
        <v>9.095964565675672</v>
      </c>
      <c r="H140" s="44">
        <v>38228</v>
      </c>
      <c r="I140" s="61"/>
    </row>
    <row r="141" spans="1:9" ht="14.25" customHeight="1" x14ac:dyDescent="0.3">
      <c r="A141" s="40" t="s">
        <v>27</v>
      </c>
      <c r="B141" s="41" t="s">
        <v>53</v>
      </c>
      <c r="C141" s="42">
        <v>8527</v>
      </c>
      <c r="D141" s="42">
        <v>1091</v>
      </c>
      <c r="E141" s="42">
        <v>1186398</v>
      </c>
      <c r="F141" s="43">
        <f t="shared" si="4"/>
        <v>6.267711172810473E-3</v>
      </c>
      <c r="G141" s="60">
        <v>1.676081719625286</v>
      </c>
      <c r="H141" s="44">
        <v>41703</v>
      </c>
      <c r="I141" s="61"/>
    </row>
    <row r="142" spans="1:9" ht="14.25" customHeight="1" x14ac:dyDescent="0.3">
      <c r="A142" s="45"/>
      <c r="I142" s="60"/>
    </row>
    <row r="143" spans="1:9" ht="14.25" customHeight="1" x14ac:dyDescent="0.3">
      <c r="I143" s="60"/>
    </row>
    <row r="144" spans="1:9" ht="14.25" customHeight="1" x14ac:dyDescent="0.3">
      <c r="I144" s="60"/>
    </row>
    <row r="145" spans="9:9" ht="14.25" customHeight="1" x14ac:dyDescent="0.3">
      <c r="I145" s="60"/>
    </row>
    <row r="146" spans="9:9" ht="14.25" customHeight="1" x14ac:dyDescent="0.3">
      <c r="I146" s="60"/>
    </row>
    <row r="147" spans="9:9" ht="14.25" customHeight="1" x14ac:dyDescent="0.3">
      <c r="I147" s="60"/>
    </row>
    <row r="148" spans="9:9" ht="14.25" customHeight="1" x14ac:dyDescent="0.3">
      <c r="I148" s="60"/>
    </row>
    <row r="149" spans="9:9" ht="14.25" customHeight="1" x14ac:dyDescent="0.3">
      <c r="I149" s="60"/>
    </row>
    <row r="150" spans="9:9" ht="14.25" customHeight="1" x14ac:dyDescent="0.3">
      <c r="I150" s="60"/>
    </row>
    <row r="151" spans="9:9" ht="14.25" customHeight="1" x14ac:dyDescent="0.3">
      <c r="I151" s="60"/>
    </row>
    <row r="152" spans="9:9" ht="14.25" customHeight="1" x14ac:dyDescent="0.3">
      <c r="I152" s="60"/>
    </row>
    <row r="153" spans="9:9" ht="14.25" customHeight="1" x14ac:dyDescent="0.3">
      <c r="I153" s="60"/>
    </row>
    <row r="154" spans="9:9" ht="14.25" customHeight="1" x14ac:dyDescent="0.3">
      <c r="I154" s="60"/>
    </row>
    <row r="155" spans="9:9" ht="14.25" customHeight="1" x14ac:dyDescent="0.3">
      <c r="I155" s="60"/>
    </row>
    <row r="156" spans="9:9" ht="14.25" customHeight="1" x14ac:dyDescent="0.3">
      <c r="I156" s="60"/>
    </row>
    <row r="157" spans="9:9" ht="14.25" customHeight="1" x14ac:dyDescent="0.3">
      <c r="I157" s="60"/>
    </row>
    <row r="158" spans="9:9" ht="14.25" customHeight="1" x14ac:dyDescent="0.3">
      <c r="I158" s="60"/>
    </row>
    <row r="159" spans="9:9" ht="14.25" customHeight="1" x14ac:dyDescent="0.3">
      <c r="I159" s="60"/>
    </row>
    <row r="160" spans="9:9" ht="14.25" customHeight="1" x14ac:dyDescent="0.3">
      <c r="I160" s="60"/>
    </row>
    <row r="161" spans="9:9" ht="14.25" customHeight="1" x14ac:dyDescent="0.3">
      <c r="I161" s="60"/>
    </row>
    <row r="162" spans="9:9" ht="14.25" customHeight="1" x14ac:dyDescent="0.3">
      <c r="I162" s="60"/>
    </row>
    <row r="163" spans="9:9" ht="14.25" customHeight="1" x14ac:dyDescent="0.3">
      <c r="I163" s="60"/>
    </row>
    <row r="164" spans="9:9" ht="14.25" customHeight="1" x14ac:dyDescent="0.3">
      <c r="I164" s="60"/>
    </row>
    <row r="165" spans="9:9" ht="14.25" customHeight="1" x14ac:dyDescent="0.3">
      <c r="I165" s="60"/>
    </row>
    <row r="166" spans="9:9" ht="14.25" customHeight="1" x14ac:dyDescent="0.3">
      <c r="I166" s="60"/>
    </row>
    <row r="167" spans="9:9" ht="14.25" customHeight="1" x14ac:dyDescent="0.3">
      <c r="I167" s="60"/>
    </row>
    <row r="168" spans="9:9" ht="14.25" customHeight="1" x14ac:dyDescent="0.3">
      <c r="I168" s="60"/>
    </row>
    <row r="169" spans="9:9" ht="14.25" customHeight="1" x14ac:dyDescent="0.3">
      <c r="I169" s="60"/>
    </row>
    <row r="170" spans="9:9" ht="14.25" customHeight="1" x14ac:dyDescent="0.3">
      <c r="I170" s="60"/>
    </row>
    <row r="171" spans="9:9" ht="14.25" customHeight="1" x14ac:dyDescent="0.3">
      <c r="I171" s="60"/>
    </row>
    <row r="172" spans="9:9" ht="14.25" customHeight="1" x14ac:dyDescent="0.3">
      <c r="I172" s="60"/>
    </row>
    <row r="173" spans="9:9" ht="14.25" customHeight="1" x14ac:dyDescent="0.3">
      <c r="I173" s="60"/>
    </row>
    <row r="174" spans="9:9" ht="14.25" customHeight="1" x14ac:dyDescent="0.3">
      <c r="I174" s="60"/>
    </row>
    <row r="175" spans="9:9" ht="14.25" customHeight="1" x14ac:dyDescent="0.3">
      <c r="I175" s="60"/>
    </row>
    <row r="176" spans="9:9" ht="14.25" customHeight="1" x14ac:dyDescent="0.3">
      <c r="I176" s="60"/>
    </row>
    <row r="177" spans="9:9" ht="14.25" customHeight="1" x14ac:dyDescent="0.3">
      <c r="I177" s="60"/>
    </row>
    <row r="178" spans="9:9" ht="14.25" customHeight="1" x14ac:dyDescent="0.3">
      <c r="I178" s="60"/>
    </row>
    <row r="179" spans="9:9" ht="14.25" customHeight="1" x14ac:dyDescent="0.3">
      <c r="I179" s="60"/>
    </row>
    <row r="180" spans="9:9" ht="14.25" customHeight="1" x14ac:dyDescent="0.3">
      <c r="I180" s="60"/>
    </row>
    <row r="181" spans="9:9" ht="14.25" customHeight="1" x14ac:dyDescent="0.3">
      <c r="I181" s="60"/>
    </row>
    <row r="182" spans="9:9" ht="14.25" customHeight="1" x14ac:dyDescent="0.3">
      <c r="I182" s="60"/>
    </row>
    <row r="183" spans="9:9" ht="14.25" customHeight="1" x14ac:dyDescent="0.3">
      <c r="I183" s="60"/>
    </row>
    <row r="184" spans="9:9" ht="14.25" customHeight="1" x14ac:dyDescent="0.3">
      <c r="I184" s="60"/>
    </row>
    <row r="185" spans="9:9" ht="14.25" customHeight="1" x14ac:dyDescent="0.3">
      <c r="I185" s="60"/>
    </row>
    <row r="186" spans="9:9" ht="14.25" customHeight="1" x14ac:dyDescent="0.3">
      <c r="I186" s="60"/>
    </row>
    <row r="187" spans="9:9" ht="14.25" customHeight="1" x14ac:dyDescent="0.3">
      <c r="I187" s="60"/>
    </row>
    <row r="188" spans="9:9" ht="14.25" customHeight="1" x14ac:dyDescent="0.3">
      <c r="I188" s="60"/>
    </row>
    <row r="189" spans="9:9" ht="14.25" customHeight="1" x14ac:dyDescent="0.3">
      <c r="I189" s="60"/>
    </row>
    <row r="190" spans="9:9" ht="14.25" customHeight="1" x14ac:dyDescent="0.3">
      <c r="I190" s="60"/>
    </row>
    <row r="191" spans="9:9" ht="14.25" customHeight="1" x14ac:dyDescent="0.3">
      <c r="I191" s="60"/>
    </row>
    <row r="192" spans="9:9" ht="14.25" customHeight="1" x14ac:dyDescent="0.3">
      <c r="I192" s="60"/>
    </row>
    <row r="193" spans="9:9" ht="14.25" customHeight="1" x14ac:dyDescent="0.3">
      <c r="I193" s="60"/>
    </row>
    <row r="194" spans="9:9" ht="14.25" customHeight="1" x14ac:dyDescent="0.3">
      <c r="I194" s="60"/>
    </row>
    <row r="195" spans="9:9" ht="14.25" customHeight="1" x14ac:dyDescent="0.3">
      <c r="I195" s="60"/>
    </row>
    <row r="196" spans="9:9" ht="14.25" customHeight="1" x14ac:dyDescent="0.3">
      <c r="I196" s="60"/>
    </row>
    <row r="197" spans="9:9" ht="14.25" customHeight="1" x14ac:dyDescent="0.3">
      <c r="I197" s="60"/>
    </row>
    <row r="198" spans="9:9" ht="14.25" customHeight="1" x14ac:dyDescent="0.3">
      <c r="I198" s="60"/>
    </row>
    <row r="199" spans="9:9" ht="14.25" customHeight="1" x14ac:dyDescent="0.3">
      <c r="I199" s="60"/>
    </row>
    <row r="200" spans="9:9" ht="14.25" customHeight="1" x14ac:dyDescent="0.3">
      <c r="I200" s="60"/>
    </row>
    <row r="201" spans="9:9" ht="14.25" customHeight="1" x14ac:dyDescent="0.3">
      <c r="I201" s="60"/>
    </row>
    <row r="202" spans="9:9" ht="14.25" customHeight="1" x14ac:dyDescent="0.3"/>
    <row r="203" spans="9:9" ht="14.25" customHeight="1" x14ac:dyDescent="0.3"/>
    <row r="204" spans="9:9" ht="14.25" customHeight="1" x14ac:dyDescent="0.3"/>
    <row r="205" spans="9:9" ht="14.25" customHeight="1" x14ac:dyDescent="0.3"/>
    <row r="206" spans="9:9" ht="14.25" customHeight="1" x14ac:dyDescent="0.3"/>
    <row r="207" spans="9:9" ht="14.25" customHeight="1" x14ac:dyDescent="0.3"/>
    <row r="208" spans="9:9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J8:J1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7DFE-F26C-4934-91CB-C025E62E8D67}">
  <dimension ref="A1:G24"/>
  <sheetViews>
    <sheetView zoomScale="30" workbookViewId="0">
      <selection activeCell="J21" sqref="J21"/>
    </sheetView>
  </sheetViews>
  <sheetFormatPr defaultRowHeight="14.4" x14ac:dyDescent="0.3"/>
  <cols>
    <col min="1" max="1" width="17.88671875" bestFit="1" customWidth="1"/>
    <col min="2" max="2" width="26.33203125" bestFit="1" customWidth="1"/>
    <col min="5" max="5" width="24" customWidth="1"/>
    <col min="6" max="6" width="25.6640625" customWidth="1"/>
    <col min="7" max="7" width="57.44140625" customWidth="1"/>
  </cols>
  <sheetData>
    <row r="1" spans="1:7" x14ac:dyDescent="0.3">
      <c r="E1" s="62" t="s">
        <v>577</v>
      </c>
      <c r="F1" s="62" t="s">
        <v>576</v>
      </c>
      <c r="G1" s="65"/>
    </row>
    <row r="2" spans="1:7" x14ac:dyDescent="0.3">
      <c r="E2">
        <v>54.270011169999997</v>
      </c>
      <c r="F2">
        <v>23.148585629999999</v>
      </c>
      <c r="G2" s="65"/>
    </row>
    <row r="3" spans="1:7" x14ac:dyDescent="0.3">
      <c r="A3" s="24" t="s">
        <v>514</v>
      </c>
      <c r="B3" t="s">
        <v>584</v>
      </c>
      <c r="G3" s="65"/>
    </row>
    <row r="4" spans="1:7" x14ac:dyDescent="0.3">
      <c r="A4" s="25" t="s">
        <v>581</v>
      </c>
      <c r="B4">
        <v>13.318587813688698</v>
      </c>
      <c r="D4" t="s">
        <v>585</v>
      </c>
      <c r="E4" s="63">
        <f>(F2-E2)</f>
        <v>-31.121425539999997</v>
      </c>
      <c r="G4" s="65"/>
    </row>
    <row r="5" spans="1:7" x14ac:dyDescent="0.3">
      <c r="A5" s="25" t="s">
        <v>577</v>
      </c>
      <c r="B5">
        <v>54.270011173105111</v>
      </c>
      <c r="G5" s="65"/>
    </row>
    <row r="6" spans="1:7" x14ac:dyDescent="0.3">
      <c r="A6" s="25" t="s">
        <v>579</v>
      </c>
      <c r="B6">
        <v>18.658865455738997</v>
      </c>
      <c r="E6" s="62" t="s">
        <v>579</v>
      </c>
      <c r="F6" s="62" t="s">
        <v>586</v>
      </c>
      <c r="G6" s="65"/>
    </row>
    <row r="7" spans="1:7" x14ac:dyDescent="0.3">
      <c r="A7" s="25" t="s">
        <v>583</v>
      </c>
      <c r="B7">
        <v>6.783904361316627</v>
      </c>
      <c r="E7">
        <v>18.658865460000001</v>
      </c>
      <c r="F7">
        <v>11.05419464</v>
      </c>
      <c r="G7" s="65"/>
    </row>
    <row r="8" spans="1:7" x14ac:dyDescent="0.3">
      <c r="A8" s="25" t="s">
        <v>580</v>
      </c>
      <c r="B8">
        <v>9.514293082522455</v>
      </c>
      <c r="G8" s="65"/>
    </row>
    <row r="9" spans="1:7" x14ac:dyDescent="0.3">
      <c r="A9" s="25" t="s">
        <v>576</v>
      </c>
      <c r="B9">
        <v>23.148585630835118</v>
      </c>
      <c r="D9" t="s">
        <v>585</v>
      </c>
      <c r="E9" s="63">
        <f>(F7-E7)</f>
        <v>-7.6046708200000008</v>
      </c>
      <c r="G9" s="65"/>
    </row>
    <row r="10" spans="1:7" x14ac:dyDescent="0.3">
      <c r="A10" s="25" t="s">
        <v>578</v>
      </c>
      <c r="B10">
        <v>11.054194638804285</v>
      </c>
      <c r="G10" s="65"/>
    </row>
    <row r="11" spans="1:7" x14ac:dyDescent="0.3">
      <c r="A11" s="25" t="s">
        <v>582</v>
      </c>
      <c r="B11">
        <v>6.0070161617834392</v>
      </c>
      <c r="E11" s="62" t="s">
        <v>581</v>
      </c>
      <c r="F11" s="62" t="s">
        <v>580</v>
      </c>
      <c r="G11" s="65"/>
    </row>
    <row r="12" spans="1:7" x14ac:dyDescent="0.3">
      <c r="A12" s="25" t="s">
        <v>515</v>
      </c>
      <c r="B12">
        <v>16.602481176171729</v>
      </c>
      <c r="E12">
        <v>13.31858781</v>
      </c>
      <c r="F12">
        <v>9.5142930830000001</v>
      </c>
      <c r="G12" s="65"/>
    </row>
    <row r="13" spans="1:7" x14ac:dyDescent="0.3">
      <c r="A13" s="25" t="s">
        <v>516</v>
      </c>
      <c r="B13">
        <v>16.286488301047147</v>
      </c>
      <c r="G13" s="65"/>
    </row>
    <row r="14" spans="1:7" x14ac:dyDescent="0.3">
      <c r="D14" t="s">
        <v>585</v>
      </c>
      <c r="E14" s="63">
        <f>(F12-E12)</f>
        <v>-3.8042947270000003</v>
      </c>
      <c r="G14" s="65"/>
    </row>
    <row r="15" spans="1:7" x14ac:dyDescent="0.3">
      <c r="G15" s="65"/>
    </row>
    <row r="16" spans="1:7" x14ac:dyDescent="0.3">
      <c r="E16" s="62" t="s">
        <v>583</v>
      </c>
      <c r="F16" s="62" t="s">
        <v>582</v>
      </c>
      <c r="G16" s="65"/>
    </row>
    <row r="17" spans="4:7" x14ac:dyDescent="0.3">
      <c r="E17">
        <v>6.7839043610000003</v>
      </c>
      <c r="F17">
        <v>6.0070161620000002</v>
      </c>
      <c r="G17" s="65"/>
    </row>
    <row r="18" spans="4:7" x14ac:dyDescent="0.3">
      <c r="D18" t="s">
        <v>585</v>
      </c>
      <c r="E18" s="63">
        <f>(F17-E17)</f>
        <v>-0.77688819900000006</v>
      </c>
      <c r="G18" s="65"/>
    </row>
    <row r="19" spans="4:7" x14ac:dyDescent="0.3">
      <c r="G19" s="65"/>
    </row>
    <row r="20" spans="4:7" x14ac:dyDescent="0.3">
      <c r="G20" s="65"/>
    </row>
    <row r="21" spans="4:7" x14ac:dyDescent="0.3">
      <c r="G21" s="65"/>
    </row>
    <row r="22" spans="4:7" x14ac:dyDescent="0.3">
      <c r="G22" s="65"/>
    </row>
    <row r="23" spans="4:7" x14ac:dyDescent="0.3">
      <c r="G23" s="65"/>
    </row>
    <row r="24" spans="4:7" x14ac:dyDescent="0.3">
      <c r="G24" s="65"/>
    </row>
  </sheetData>
  <mergeCells count="2">
    <mergeCell ref="G1:G13"/>
    <mergeCell ref="G14:G24"/>
  </mergeCells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054D-6357-4F22-A1BB-828F5EE88A74}">
  <dimension ref="A1:K1000"/>
  <sheetViews>
    <sheetView zoomScale="27" workbookViewId="0">
      <selection activeCell="K21" sqref="K21"/>
    </sheetView>
  </sheetViews>
  <sheetFormatPr defaultColWidth="14.44140625" defaultRowHeight="14.4" x14ac:dyDescent="0.3"/>
  <cols>
    <col min="1" max="1" width="30.33203125" style="23" customWidth="1"/>
    <col min="2" max="2" width="19.44140625" style="23" customWidth="1"/>
    <col min="3" max="3" width="25.88671875" style="23" customWidth="1"/>
    <col min="4" max="4" width="16.88671875" style="23" customWidth="1"/>
    <col min="5" max="6" width="23.33203125" style="23" customWidth="1"/>
    <col min="7" max="7" width="21.5546875" style="23" customWidth="1"/>
    <col min="8" max="8" width="24.5546875" style="23" customWidth="1"/>
    <col min="9" max="9" width="38.5546875" style="23" customWidth="1"/>
    <col min="10" max="10" width="8.6640625" style="23" customWidth="1"/>
    <col min="11" max="11" width="37.77734375" style="23" customWidth="1"/>
    <col min="12" max="27" width="8.6640625" style="23" customWidth="1"/>
    <col min="28" max="16384" width="14.44140625" style="23"/>
  </cols>
  <sheetData>
    <row r="1" spans="1:11" ht="14.25" customHeight="1" x14ac:dyDescent="0.3">
      <c r="A1" s="12" t="s">
        <v>526</v>
      </c>
      <c r="B1" s="12" t="s">
        <v>1</v>
      </c>
      <c r="C1" s="12" t="s">
        <v>527</v>
      </c>
      <c r="D1" s="12" t="s">
        <v>528</v>
      </c>
      <c r="E1" s="12" t="s">
        <v>529</v>
      </c>
      <c r="F1" s="12" t="s">
        <v>551</v>
      </c>
      <c r="G1" s="12" t="s">
        <v>530</v>
      </c>
      <c r="H1" s="12" t="s">
        <v>531</v>
      </c>
      <c r="I1" s="12" t="s">
        <v>587</v>
      </c>
    </row>
    <row r="2" spans="1:11" ht="14.25" customHeight="1" x14ac:dyDescent="0.3">
      <c r="A2" s="40" t="s">
        <v>197</v>
      </c>
      <c r="B2" s="41" t="s">
        <v>26</v>
      </c>
      <c r="C2" s="42">
        <v>4138</v>
      </c>
      <c r="D2" s="42">
        <v>361</v>
      </c>
      <c r="E2" s="42">
        <v>103777</v>
      </c>
      <c r="F2" s="43">
        <f>(C2-D2)/E2</f>
        <v>3.6395347716738774E-2</v>
      </c>
      <c r="G2" s="60">
        <v>56.637790647253247</v>
      </c>
      <c r="H2" s="44">
        <v>23944</v>
      </c>
      <c r="I2" s="42">
        <f>(C2-D2)</f>
        <v>3777</v>
      </c>
    </row>
    <row r="3" spans="1:11" ht="14.25" customHeight="1" x14ac:dyDescent="0.3">
      <c r="A3" s="40" t="s">
        <v>197</v>
      </c>
      <c r="B3" s="41" t="s">
        <v>53</v>
      </c>
      <c r="C3" s="42">
        <v>8693</v>
      </c>
      <c r="D3" s="42">
        <v>1261</v>
      </c>
      <c r="E3" s="42">
        <v>111209</v>
      </c>
      <c r="F3" s="43">
        <f t="shared" ref="F3:F67" si="0">(C3-D3)/E3</f>
        <v>6.6829123542159363E-2</v>
      </c>
      <c r="G3" s="60">
        <v>69.475492091467416</v>
      </c>
      <c r="H3" s="44">
        <v>29873</v>
      </c>
      <c r="I3" s="42">
        <f t="shared" ref="I3:I67" si="1">(C3-D3)</f>
        <v>7432</v>
      </c>
    </row>
    <row r="4" spans="1:11" ht="14.25" customHeight="1" x14ac:dyDescent="0.3">
      <c r="A4" s="40" t="s">
        <v>197</v>
      </c>
      <c r="B4" s="41" t="s">
        <v>14</v>
      </c>
      <c r="C4" s="42">
        <v>9264</v>
      </c>
      <c r="D4" s="42">
        <v>1141</v>
      </c>
      <c r="E4" s="42">
        <v>119332</v>
      </c>
      <c r="F4" s="43">
        <f t="shared" si="0"/>
        <v>6.8070592967519189E-2</v>
      </c>
      <c r="G4" s="60">
        <v>92.312204605638044</v>
      </c>
      <c r="H4" s="44">
        <v>50372</v>
      </c>
      <c r="I4" s="42">
        <f t="shared" si="1"/>
        <v>8123</v>
      </c>
    </row>
    <row r="5" spans="1:11" ht="14.25" customHeight="1" x14ac:dyDescent="0.3">
      <c r="A5" s="40" t="s">
        <v>210</v>
      </c>
      <c r="B5" s="41" t="s">
        <v>26</v>
      </c>
      <c r="C5" s="42">
        <v>7721</v>
      </c>
      <c r="D5" s="42">
        <v>506</v>
      </c>
      <c r="E5" s="42">
        <v>134418</v>
      </c>
      <c r="F5" s="43">
        <f t="shared" si="0"/>
        <v>5.3675846984778827E-2</v>
      </c>
      <c r="G5" s="60">
        <v>35.577824398518047</v>
      </c>
      <c r="H5" s="44">
        <v>25379</v>
      </c>
      <c r="I5" s="42">
        <f t="shared" si="1"/>
        <v>7215</v>
      </c>
      <c r="K5" s="65"/>
    </row>
    <row r="6" spans="1:11" ht="14.25" customHeight="1" x14ac:dyDescent="0.3">
      <c r="A6" s="40" t="s">
        <v>210</v>
      </c>
      <c r="B6" s="41" t="s">
        <v>14</v>
      </c>
      <c r="C6" s="42">
        <v>8002</v>
      </c>
      <c r="D6" s="42">
        <v>524</v>
      </c>
      <c r="E6" s="42">
        <v>141896</v>
      </c>
      <c r="F6" s="43">
        <f t="shared" si="0"/>
        <v>5.270056943113266E-2</v>
      </c>
      <c r="G6" s="60">
        <v>52.064892597395271</v>
      </c>
      <c r="H6" s="44">
        <v>46751</v>
      </c>
      <c r="I6" s="42">
        <f t="shared" si="1"/>
        <v>7478</v>
      </c>
      <c r="K6" s="65"/>
    </row>
    <row r="7" spans="1:11" ht="14.25" customHeight="1" x14ac:dyDescent="0.3">
      <c r="A7" s="40" t="s">
        <v>210</v>
      </c>
      <c r="B7" s="41" t="s">
        <v>53</v>
      </c>
      <c r="C7" s="42">
        <v>5225</v>
      </c>
      <c r="D7" s="42">
        <v>291</v>
      </c>
      <c r="E7" s="42">
        <v>146830</v>
      </c>
      <c r="F7" s="43">
        <f t="shared" si="0"/>
        <v>3.3603487025812166E-2</v>
      </c>
      <c r="G7" s="60">
        <v>19.551862698358651</v>
      </c>
      <c r="H7" s="44">
        <v>44546</v>
      </c>
      <c r="I7" s="42">
        <f t="shared" si="1"/>
        <v>4934</v>
      </c>
      <c r="K7" s="65"/>
    </row>
    <row r="8" spans="1:11" ht="14.25" customHeight="1" x14ac:dyDescent="0.3">
      <c r="A8" s="40" t="s">
        <v>134</v>
      </c>
      <c r="B8" s="41" t="s">
        <v>26</v>
      </c>
      <c r="C8" s="42">
        <v>8373</v>
      </c>
      <c r="D8" s="42">
        <v>921</v>
      </c>
      <c r="E8" s="42">
        <v>157717</v>
      </c>
      <c r="F8" s="43">
        <f t="shared" si="0"/>
        <v>4.7249186834646864E-2</v>
      </c>
      <c r="G8" s="60">
        <v>12.2263294381709</v>
      </c>
      <c r="H8" s="44">
        <v>15110</v>
      </c>
      <c r="I8" s="42">
        <f t="shared" si="1"/>
        <v>7452</v>
      </c>
      <c r="K8" s="65"/>
    </row>
    <row r="9" spans="1:11" ht="14.25" customHeight="1" x14ac:dyDescent="0.3">
      <c r="A9" s="40" t="s">
        <v>134</v>
      </c>
      <c r="B9" s="41" t="s">
        <v>53</v>
      </c>
      <c r="C9" s="42">
        <v>6907</v>
      </c>
      <c r="D9" s="42">
        <v>834</v>
      </c>
      <c r="E9" s="42">
        <v>163790</v>
      </c>
      <c r="F9" s="43">
        <f t="shared" si="0"/>
        <v>3.7077965687770928E-2</v>
      </c>
      <c r="G9" s="60">
        <v>54.158984064961238</v>
      </c>
      <c r="H9" s="44">
        <v>22087</v>
      </c>
      <c r="I9" s="42">
        <f t="shared" si="1"/>
        <v>6073</v>
      </c>
      <c r="K9" s="65"/>
    </row>
    <row r="10" spans="1:11" ht="14.25" customHeight="1" x14ac:dyDescent="0.3">
      <c r="A10" s="40" t="s">
        <v>134</v>
      </c>
      <c r="B10" s="41" t="s">
        <v>21</v>
      </c>
      <c r="C10" s="42">
        <v>7097</v>
      </c>
      <c r="D10" s="42">
        <v>369</v>
      </c>
      <c r="E10" s="42">
        <v>170518</v>
      </c>
      <c r="F10" s="43">
        <f t="shared" si="0"/>
        <v>3.9456245088495059E-2</v>
      </c>
      <c r="G10" s="60">
        <v>9.2506362964613711</v>
      </c>
      <c r="H10" s="44">
        <v>33762</v>
      </c>
      <c r="I10" s="42">
        <f t="shared" si="1"/>
        <v>6728</v>
      </c>
      <c r="K10" s="65"/>
    </row>
    <row r="11" spans="1:11" ht="14.25" customHeight="1" x14ac:dyDescent="0.3">
      <c r="A11" s="40" t="s">
        <v>42</v>
      </c>
      <c r="B11" s="41" t="s">
        <v>53</v>
      </c>
      <c r="C11" s="42">
        <v>9984</v>
      </c>
      <c r="D11" s="42">
        <v>1330</v>
      </c>
      <c r="E11" s="42">
        <v>184850</v>
      </c>
      <c r="F11" s="43">
        <f t="shared" si="0"/>
        <v>4.6816337571003515E-2</v>
      </c>
      <c r="G11" s="60">
        <v>57.524479307546663</v>
      </c>
      <c r="H11" s="44">
        <v>44947</v>
      </c>
      <c r="I11" s="42">
        <f t="shared" si="1"/>
        <v>8654</v>
      </c>
      <c r="K11" s="66"/>
    </row>
    <row r="12" spans="1:11" ht="14.25" customHeight="1" x14ac:dyDescent="0.3">
      <c r="A12" s="40" t="s">
        <v>42</v>
      </c>
      <c r="B12" s="41" t="s">
        <v>26</v>
      </c>
      <c r="C12" s="42">
        <v>5259</v>
      </c>
      <c r="D12" s="42">
        <v>374</v>
      </c>
      <c r="E12" s="42">
        <v>189735</v>
      </c>
      <c r="F12" s="43">
        <f t="shared" si="0"/>
        <v>2.5746435818378266E-2</v>
      </c>
      <c r="G12" s="60">
        <v>14.827522597306769</v>
      </c>
      <c r="H12" s="44">
        <v>19596</v>
      </c>
      <c r="I12" s="42">
        <f t="shared" si="1"/>
        <v>4885</v>
      </c>
    </row>
    <row r="13" spans="1:11" ht="14.25" customHeight="1" x14ac:dyDescent="0.3">
      <c r="A13" s="40" t="s">
        <v>42</v>
      </c>
      <c r="B13" s="41" t="s">
        <v>14</v>
      </c>
      <c r="C13" s="42">
        <v>9286</v>
      </c>
      <c r="D13" s="42">
        <v>633</v>
      </c>
      <c r="E13" s="42">
        <v>198388</v>
      </c>
      <c r="F13" s="43">
        <f t="shared" si="0"/>
        <v>4.3616549388067825E-2</v>
      </c>
      <c r="G13" s="60">
        <v>5.4343004617214756</v>
      </c>
      <c r="H13" s="44">
        <v>48019</v>
      </c>
      <c r="I13" s="42">
        <f t="shared" si="1"/>
        <v>8653</v>
      </c>
    </row>
    <row r="14" spans="1:11" ht="14.25" customHeight="1" x14ac:dyDescent="0.3">
      <c r="A14" s="40" t="s">
        <v>404</v>
      </c>
      <c r="B14" s="41" t="s">
        <v>21</v>
      </c>
      <c r="C14" s="42">
        <v>5917</v>
      </c>
      <c r="D14" s="42">
        <v>475</v>
      </c>
      <c r="E14" s="42">
        <v>210260</v>
      </c>
      <c r="F14" s="43">
        <f t="shared" si="0"/>
        <v>2.5882241034909159E-2</v>
      </c>
      <c r="G14" s="60">
        <v>17.894035955483691</v>
      </c>
      <c r="H14" s="44">
        <v>28313</v>
      </c>
      <c r="I14" s="42">
        <f t="shared" si="1"/>
        <v>5442</v>
      </c>
    </row>
    <row r="15" spans="1:11" ht="14.25" customHeight="1" x14ac:dyDescent="0.3">
      <c r="A15" s="40" t="s">
        <v>404</v>
      </c>
      <c r="B15" s="41" t="s">
        <v>53</v>
      </c>
      <c r="C15" s="42">
        <v>9429</v>
      </c>
      <c r="D15" s="42">
        <v>966</v>
      </c>
      <c r="E15" s="42">
        <v>218723</v>
      </c>
      <c r="F15" s="43">
        <f t="shared" si="0"/>
        <v>3.8692775794040866E-2</v>
      </c>
      <c r="G15" s="60">
        <v>7.6914636320825887</v>
      </c>
      <c r="H15" s="44">
        <v>57639</v>
      </c>
      <c r="I15" s="42">
        <f t="shared" si="1"/>
        <v>8463</v>
      </c>
    </row>
    <row r="16" spans="1:11" ht="14.25" customHeight="1" x14ac:dyDescent="0.3">
      <c r="A16" s="40" t="s">
        <v>404</v>
      </c>
      <c r="B16" s="41" t="s">
        <v>26</v>
      </c>
      <c r="C16" s="42">
        <v>3530</v>
      </c>
      <c r="D16" s="42">
        <v>328</v>
      </c>
      <c r="E16" s="42">
        <v>221925</v>
      </c>
      <c r="F16" s="43">
        <f t="shared" si="0"/>
        <v>1.4428297848372199E-2</v>
      </c>
      <c r="G16" s="60">
        <v>12.8372197814577</v>
      </c>
      <c r="H16" s="44">
        <v>11013</v>
      </c>
      <c r="I16" s="42">
        <f t="shared" si="1"/>
        <v>3202</v>
      </c>
    </row>
    <row r="17" spans="1:9" ht="14.25" customHeight="1" x14ac:dyDescent="0.3">
      <c r="A17" s="40" t="s">
        <v>532</v>
      </c>
      <c r="B17" s="41" t="s">
        <v>53</v>
      </c>
      <c r="C17" s="42">
        <v>8045</v>
      </c>
      <c r="D17" s="42">
        <v>894</v>
      </c>
      <c r="E17" s="42">
        <v>231802</v>
      </c>
      <c r="F17" s="43">
        <f t="shared" si="0"/>
        <v>3.084960440375838E-2</v>
      </c>
      <c r="G17" s="60">
        <v>47.634187798207087</v>
      </c>
      <c r="H17" s="44">
        <v>33705</v>
      </c>
      <c r="I17" s="42">
        <f t="shared" si="1"/>
        <v>7151</v>
      </c>
    </row>
    <row r="18" spans="1:9" ht="14.25" customHeight="1" x14ac:dyDescent="0.3">
      <c r="A18" s="40" t="s">
        <v>532</v>
      </c>
      <c r="B18" s="41" t="s">
        <v>21</v>
      </c>
      <c r="C18" s="42">
        <v>2048</v>
      </c>
      <c r="D18" s="42">
        <v>130</v>
      </c>
      <c r="E18" s="42">
        <v>233720</v>
      </c>
      <c r="F18" s="43">
        <f t="shared" si="0"/>
        <v>8.2064008214958063E-3</v>
      </c>
      <c r="G18" s="60">
        <v>39.284614068115687</v>
      </c>
      <c r="H18" s="44">
        <v>11828</v>
      </c>
      <c r="I18" s="42">
        <f t="shared" si="1"/>
        <v>1918</v>
      </c>
    </row>
    <row r="19" spans="1:9" ht="14.25" customHeight="1" x14ac:dyDescent="0.3">
      <c r="A19" s="40" t="s">
        <v>275</v>
      </c>
      <c r="B19" s="41" t="s">
        <v>26</v>
      </c>
      <c r="C19" s="42">
        <v>3964</v>
      </c>
      <c r="D19" s="42">
        <v>378</v>
      </c>
      <c r="E19" s="42">
        <v>246766</v>
      </c>
      <c r="F19" s="43">
        <f t="shared" si="0"/>
        <v>1.453198576789347E-2</v>
      </c>
      <c r="G19" s="60">
        <v>13.6355899921383</v>
      </c>
      <c r="H19" s="44">
        <v>23109</v>
      </c>
      <c r="I19" s="42">
        <f t="shared" si="1"/>
        <v>3586</v>
      </c>
    </row>
    <row r="20" spans="1:9" ht="14.25" customHeight="1" x14ac:dyDescent="0.3">
      <c r="A20" s="40" t="s">
        <v>275</v>
      </c>
      <c r="B20" s="41" t="s">
        <v>53</v>
      </c>
      <c r="C20" s="42">
        <v>8137</v>
      </c>
      <c r="D20" s="42">
        <v>1045</v>
      </c>
      <c r="E20" s="42">
        <v>253858</v>
      </c>
      <c r="F20" s="43">
        <f t="shared" si="0"/>
        <v>2.7936878097203948E-2</v>
      </c>
      <c r="G20" s="60">
        <v>20.47246886054408</v>
      </c>
      <c r="H20" s="44">
        <v>12023</v>
      </c>
      <c r="I20" s="42">
        <f t="shared" si="1"/>
        <v>7092</v>
      </c>
    </row>
    <row r="21" spans="1:9" ht="14.25" customHeight="1" x14ac:dyDescent="0.3">
      <c r="A21" s="40" t="s">
        <v>275</v>
      </c>
      <c r="B21" s="41" t="s">
        <v>14</v>
      </c>
      <c r="C21" s="42">
        <v>1963</v>
      </c>
      <c r="D21" s="42">
        <v>137</v>
      </c>
      <c r="E21" s="42">
        <v>255684</v>
      </c>
      <c r="F21" s="43">
        <f t="shared" si="0"/>
        <v>7.1416279469970747E-3</v>
      </c>
      <c r="G21" s="60">
        <v>11.2083665774941</v>
      </c>
      <c r="H21" s="44">
        <v>24537</v>
      </c>
      <c r="I21" s="42">
        <f t="shared" si="1"/>
        <v>1826</v>
      </c>
    </row>
    <row r="22" spans="1:9" ht="14.25" customHeight="1" x14ac:dyDescent="0.3">
      <c r="A22" s="40" t="s">
        <v>533</v>
      </c>
      <c r="B22" s="41" t="s">
        <v>21</v>
      </c>
      <c r="C22" s="42">
        <v>8340</v>
      </c>
      <c r="D22" s="42">
        <v>911</v>
      </c>
      <c r="E22" s="42">
        <v>264494</v>
      </c>
      <c r="F22" s="43">
        <f t="shared" si="0"/>
        <v>2.8087593669421613E-2</v>
      </c>
      <c r="G22" s="60">
        <v>37.302925586213682</v>
      </c>
      <c r="H22" s="44">
        <v>48659</v>
      </c>
      <c r="I22" s="42">
        <f t="shared" si="1"/>
        <v>7429</v>
      </c>
    </row>
    <row r="23" spans="1:9" ht="14.25" customHeight="1" x14ac:dyDescent="0.3">
      <c r="A23" s="40" t="s">
        <v>533</v>
      </c>
      <c r="B23" s="41" t="s">
        <v>53</v>
      </c>
      <c r="C23" s="42">
        <v>8179</v>
      </c>
      <c r="D23" s="42">
        <v>446</v>
      </c>
      <c r="E23" s="42">
        <v>272227</v>
      </c>
      <c r="F23" s="43">
        <f t="shared" si="0"/>
        <v>2.8406440213498294E-2</v>
      </c>
      <c r="G23" s="60">
        <v>41.82171496581897</v>
      </c>
      <c r="H23" s="44">
        <v>43848</v>
      </c>
      <c r="I23" s="42">
        <f t="shared" si="1"/>
        <v>7733</v>
      </c>
    </row>
    <row r="24" spans="1:9" ht="14.25" customHeight="1" x14ac:dyDescent="0.3">
      <c r="A24" s="40" t="s">
        <v>533</v>
      </c>
      <c r="B24" s="41" t="s">
        <v>14</v>
      </c>
      <c r="C24" s="42">
        <v>9734</v>
      </c>
      <c r="D24" s="42">
        <v>652</v>
      </c>
      <c r="E24" s="42">
        <v>289283</v>
      </c>
      <c r="F24" s="43">
        <f t="shared" si="0"/>
        <v>3.1394862470314533E-2</v>
      </c>
      <c r="G24" s="60">
        <v>49.647922622483861</v>
      </c>
      <c r="H24" s="44">
        <v>25379</v>
      </c>
      <c r="I24" s="42">
        <f t="shared" si="1"/>
        <v>9082</v>
      </c>
    </row>
    <row r="25" spans="1:9" ht="14.25" customHeight="1" x14ac:dyDescent="0.3">
      <c r="A25" s="40" t="s">
        <v>230</v>
      </c>
      <c r="B25" s="41" t="s">
        <v>21</v>
      </c>
      <c r="C25" s="42">
        <v>1845</v>
      </c>
      <c r="D25" s="42">
        <v>104</v>
      </c>
      <c r="E25" s="42">
        <v>291024</v>
      </c>
      <c r="F25" s="43">
        <f t="shared" si="0"/>
        <v>5.9823244818296775E-3</v>
      </c>
      <c r="G25" s="60">
        <v>28.158158777282971</v>
      </c>
      <c r="H25" s="44">
        <v>37766</v>
      </c>
      <c r="I25" s="42">
        <f>(C25-D25)</f>
        <v>1741</v>
      </c>
    </row>
    <row r="26" spans="1:9" ht="14.25" customHeight="1" x14ac:dyDescent="0.3">
      <c r="A26" s="40" t="s">
        <v>230</v>
      </c>
      <c r="B26" s="41" t="s">
        <v>14</v>
      </c>
      <c r="C26" s="42">
        <v>4036</v>
      </c>
      <c r="D26" s="42">
        <v>591</v>
      </c>
      <c r="E26" s="42">
        <v>300265</v>
      </c>
      <c r="F26" s="43">
        <f t="shared" si="0"/>
        <v>1.1473198674504187E-2</v>
      </c>
      <c r="G26" s="60">
        <v>44.219272975538267</v>
      </c>
      <c r="H26" s="44">
        <v>12563</v>
      </c>
      <c r="I26" s="42">
        <f t="shared" si="1"/>
        <v>3445</v>
      </c>
    </row>
    <row r="27" spans="1:9" ht="14.25" customHeight="1" x14ac:dyDescent="0.3">
      <c r="A27" s="40" t="s">
        <v>230</v>
      </c>
      <c r="B27" s="41" t="s">
        <v>53</v>
      </c>
      <c r="C27" s="42">
        <v>6947</v>
      </c>
      <c r="D27" s="42">
        <v>908</v>
      </c>
      <c r="E27" s="42">
        <v>306304</v>
      </c>
      <c r="F27" s="43">
        <f t="shared" si="0"/>
        <v>1.9715707271207691E-2</v>
      </c>
      <c r="G27" s="60">
        <v>14.117673944839121</v>
      </c>
      <c r="H27" s="44">
        <v>46060</v>
      </c>
      <c r="I27" s="42">
        <f t="shared" si="1"/>
        <v>6039</v>
      </c>
    </row>
    <row r="28" spans="1:9" ht="14.25" customHeight="1" x14ac:dyDescent="0.3">
      <c r="A28" s="40" t="s">
        <v>446</v>
      </c>
      <c r="B28" s="41" t="s">
        <v>26</v>
      </c>
      <c r="C28" s="42">
        <v>3494</v>
      </c>
      <c r="D28" s="42">
        <v>281</v>
      </c>
      <c r="E28" s="42">
        <v>309517</v>
      </c>
      <c r="F28" s="43">
        <f t="shared" si="0"/>
        <v>1.0380689913639638E-2</v>
      </c>
      <c r="G28" s="60">
        <v>27.765518533715429</v>
      </c>
      <c r="H28" s="44">
        <v>39197</v>
      </c>
      <c r="I28" s="42">
        <f t="shared" si="1"/>
        <v>3213</v>
      </c>
    </row>
    <row r="29" spans="1:9" ht="14.25" customHeight="1" x14ac:dyDescent="0.3">
      <c r="A29" s="40" t="s">
        <v>446</v>
      </c>
      <c r="B29" s="41" t="s">
        <v>53</v>
      </c>
      <c r="C29" s="42">
        <v>3719</v>
      </c>
      <c r="D29" s="42">
        <v>222</v>
      </c>
      <c r="E29" s="42">
        <v>313014</v>
      </c>
      <c r="F29" s="43">
        <f t="shared" si="0"/>
        <v>1.1172024254506188E-2</v>
      </c>
      <c r="G29" s="60">
        <v>21.669318305251519</v>
      </c>
      <c r="H29" s="44">
        <v>13586</v>
      </c>
      <c r="I29" s="42">
        <f t="shared" si="1"/>
        <v>3497</v>
      </c>
    </row>
    <row r="30" spans="1:9" ht="14.25" customHeight="1" x14ac:dyDescent="0.3">
      <c r="A30" s="40" t="s">
        <v>446</v>
      </c>
      <c r="B30" s="41" t="s">
        <v>14</v>
      </c>
      <c r="C30" s="42">
        <v>2884</v>
      </c>
      <c r="D30" s="42">
        <v>341</v>
      </c>
      <c r="E30" s="42">
        <v>315557</v>
      </c>
      <c r="F30" s="43">
        <f t="shared" si="0"/>
        <v>8.058765928184131E-3</v>
      </c>
      <c r="G30" s="60">
        <v>46.999749649033298</v>
      </c>
      <c r="H30" s="44">
        <v>26087</v>
      </c>
      <c r="I30" s="42">
        <f t="shared" si="1"/>
        <v>2543</v>
      </c>
    </row>
    <row r="31" spans="1:9" ht="14.25" customHeight="1" x14ac:dyDescent="0.3">
      <c r="A31" s="40" t="s">
        <v>446</v>
      </c>
      <c r="B31" s="41" t="s">
        <v>21</v>
      </c>
      <c r="C31" s="42">
        <v>5349</v>
      </c>
      <c r="D31" s="42">
        <v>502</v>
      </c>
      <c r="E31" s="42">
        <v>320404</v>
      </c>
      <c r="F31" s="43">
        <f t="shared" si="0"/>
        <v>1.5127776182569505E-2</v>
      </c>
      <c r="G31" s="60">
        <v>5.2152906954969351</v>
      </c>
      <c r="H31" s="44">
        <v>58868</v>
      </c>
      <c r="I31" s="42">
        <f t="shared" si="1"/>
        <v>4847</v>
      </c>
    </row>
    <row r="32" spans="1:9" ht="14.25" customHeight="1" x14ac:dyDescent="0.3">
      <c r="A32" s="40" t="s">
        <v>33</v>
      </c>
      <c r="B32" s="41" t="s">
        <v>53</v>
      </c>
      <c r="C32" s="42">
        <v>6179</v>
      </c>
      <c r="D32" s="42">
        <v>384</v>
      </c>
      <c r="E32" s="42">
        <v>326199</v>
      </c>
      <c r="F32" s="43">
        <f t="shared" si="0"/>
        <v>1.7765229200580015E-2</v>
      </c>
      <c r="G32" s="60">
        <v>14.71218489327067</v>
      </c>
      <c r="H32" s="44">
        <v>33225</v>
      </c>
      <c r="I32" s="42">
        <f t="shared" si="1"/>
        <v>5795</v>
      </c>
    </row>
    <row r="33" spans="1:9" ht="14.25" customHeight="1" x14ac:dyDescent="0.3">
      <c r="A33" s="40" t="s">
        <v>33</v>
      </c>
      <c r="B33" s="41" t="s">
        <v>26</v>
      </c>
      <c r="C33" s="42">
        <v>7610</v>
      </c>
      <c r="D33" s="42">
        <v>757</v>
      </c>
      <c r="E33" s="42">
        <v>333052</v>
      </c>
      <c r="F33" s="43">
        <f t="shared" si="0"/>
        <v>2.0576366453286574E-2</v>
      </c>
      <c r="G33" s="60">
        <v>44.450416151231643</v>
      </c>
      <c r="H33" s="44">
        <v>39750</v>
      </c>
      <c r="I33" s="42">
        <f t="shared" si="1"/>
        <v>6853</v>
      </c>
    </row>
    <row r="34" spans="1:9" ht="14.25" customHeight="1" x14ac:dyDescent="0.3">
      <c r="A34" s="40" t="s">
        <v>33</v>
      </c>
      <c r="B34" s="41" t="s">
        <v>14</v>
      </c>
      <c r="C34" s="42">
        <v>7430</v>
      </c>
      <c r="D34" s="42">
        <v>397</v>
      </c>
      <c r="E34" s="42">
        <v>340085</v>
      </c>
      <c r="F34" s="43">
        <f t="shared" si="0"/>
        <v>2.0680124086625402E-2</v>
      </c>
      <c r="G34" s="60">
        <v>28.065042562888689</v>
      </c>
      <c r="H34" s="44">
        <v>16643</v>
      </c>
      <c r="I34" s="42">
        <f t="shared" si="1"/>
        <v>7033</v>
      </c>
    </row>
    <row r="35" spans="1:9" ht="14.25" customHeight="1" x14ac:dyDescent="0.3">
      <c r="A35" s="40" t="s">
        <v>72</v>
      </c>
      <c r="B35" s="41" t="s">
        <v>26</v>
      </c>
      <c r="C35" s="42">
        <v>7488</v>
      </c>
      <c r="D35" s="42">
        <v>568</v>
      </c>
      <c r="E35" s="42">
        <v>354010</v>
      </c>
      <c r="F35" s="43">
        <f t="shared" si="0"/>
        <v>1.9547470410440384E-2</v>
      </c>
      <c r="G35" s="60">
        <v>13.47730290104799</v>
      </c>
      <c r="H35" s="44">
        <v>46727</v>
      </c>
      <c r="I35" s="42">
        <f t="shared" si="1"/>
        <v>6920</v>
      </c>
    </row>
    <row r="36" spans="1:9" ht="14.25" customHeight="1" x14ac:dyDescent="0.3">
      <c r="A36" s="40" t="s">
        <v>72</v>
      </c>
      <c r="B36" s="41" t="s">
        <v>14</v>
      </c>
      <c r="C36" s="42">
        <v>5737</v>
      </c>
      <c r="D36" s="42">
        <v>666</v>
      </c>
      <c r="E36" s="42">
        <v>359081</v>
      </c>
      <c r="F36" s="43">
        <f t="shared" si="0"/>
        <v>1.4122161852061233E-2</v>
      </c>
      <c r="G36" s="60">
        <v>4.6034181702735593</v>
      </c>
      <c r="H36" s="44">
        <v>21005</v>
      </c>
      <c r="I36" s="42">
        <f t="shared" si="1"/>
        <v>5071</v>
      </c>
    </row>
    <row r="37" spans="1:9" ht="14.25" customHeight="1" x14ac:dyDescent="0.3">
      <c r="A37" s="40" t="s">
        <v>67</v>
      </c>
      <c r="B37" s="41" t="s">
        <v>21</v>
      </c>
      <c r="C37" s="42">
        <v>1689</v>
      </c>
      <c r="D37" s="42">
        <v>176</v>
      </c>
      <c r="E37" s="42">
        <v>371865</v>
      </c>
      <c r="F37" s="43">
        <f t="shared" si="0"/>
        <v>4.068680838476329E-3</v>
      </c>
      <c r="G37" s="60">
        <v>38.012181840183942</v>
      </c>
      <c r="H37" s="44">
        <v>26029</v>
      </c>
      <c r="I37" s="42">
        <f t="shared" si="1"/>
        <v>1513</v>
      </c>
    </row>
    <row r="38" spans="1:9" ht="14.25" customHeight="1" x14ac:dyDescent="0.3">
      <c r="A38" s="40" t="s">
        <v>67</v>
      </c>
      <c r="B38" s="41" t="s">
        <v>53</v>
      </c>
      <c r="C38" s="42">
        <v>6175</v>
      </c>
      <c r="D38" s="42">
        <v>422</v>
      </c>
      <c r="E38" s="42">
        <v>377618</v>
      </c>
      <c r="F38" s="43">
        <f t="shared" si="0"/>
        <v>1.523497290913039E-2</v>
      </c>
      <c r="G38" s="60">
        <v>37.86101298137271</v>
      </c>
      <c r="H38" s="44">
        <v>59745</v>
      </c>
      <c r="I38" s="42">
        <f t="shared" si="1"/>
        <v>5753</v>
      </c>
    </row>
    <row r="39" spans="1:9" ht="14.25" customHeight="1" x14ac:dyDescent="0.3">
      <c r="A39" s="40" t="s">
        <v>67</v>
      </c>
      <c r="B39" s="41" t="s">
        <v>26</v>
      </c>
      <c r="C39" s="42">
        <v>9648</v>
      </c>
      <c r="D39" s="42">
        <v>1417</v>
      </c>
      <c r="E39" s="42">
        <v>385849</v>
      </c>
      <c r="F39" s="43">
        <f t="shared" si="0"/>
        <v>2.1332179168534842E-2</v>
      </c>
      <c r="G39" s="60">
        <v>3.6633501706626168</v>
      </c>
      <c r="H39" s="44">
        <v>24226</v>
      </c>
      <c r="I39" s="42">
        <f t="shared" si="1"/>
        <v>8231</v>
      </c>
    </row>
    <row r="40" spans="1:9" ht="14.25" customHeight="1" x14ac:dyDescent="0.3">
      <c r="A40" s="40" t="s">
        <v>67</v>
      </c>
      <c r="B40" s="41" t="s">
        <v>14</v>
      </c>
      <c r="C40" s="42">
        <v>6078</v>
      </c>
      <c r="D40" s="42">
        <v>775</v>
      </c>
      <c r="E40" s="42">
        <v>391152</v>
      </c>
      <c r="F40" s="43">
        <f t="shared" si="0"/>
        <v>1.3557389454738823E-2</v>
      </c>
      <c r="G40" s="60">
        <v>37.760512537325639</v>
      </c>
      <c r="H40" s="44">
        <v>38731</v>
      </c>
      <c r="I40" s="42">
        <f t="shared" si="1"/>
        <v>5303</v>
      </c>
    </row>
    <row r="41" spans="1:9" ht="14.25" customHeight="1" x14ac:dyDescent="0.3">
      <c r="A41" s="40" t="s">
        <v>164</v>
      </c>
      <c r="B41" s="41" t="s">
        <v>26</v>
      </c>
      <c r="C41" s="42">
        <v>6448</v>
      </c>
      <c r="D41" s="42">
        <v>928</v>
      </c>
      <c r="E41" s="42">
        <v>396672</v>
      </c>
      <c r="F41" s="43">
        <f t="shared" si="0"/>
        <v>1.3915779283639884E-2</v>
      </c>
      <c r="G41" s="60">
        <v>30.118586640851881</v>
      </c>
      <c r="H41" s="44">
        <v>53922</v>
      </c>
      <c r="I41" s="42">
        <f t="shared" si="1"/>
        <v>5520</v>
      </c>
    </row>
    <row r="42" spans="1:9" ht="14.25" customHeight="1" x14ac:dyDescent="0.3">
      <c r="A42" s="40" t="s">
        <v>164</v>
      </c>
      <c r="B42" s="41" t="s">
        <v>53</v>
      </c>
      <c r="C42" s="42">
        <v>7406</v>
      </c>
      <c r="D42" s="42">
        <v>813</v>
      </c>
      <c r="E42" s="42">
        <v>405141</v>
      </c>
      <c r="F42" s="43">
        <f t="shared" si="0"/>
        <v>1.6273346810122897E-2</v>
      </c>
      <c r="G42" s="60">
        <v>24.457411123534769</v>
      </c>
      <c r="H42" s="44">
        <v>13390</v>
      </c>
      <c r="I42" s="42">
        <f t="shared" si="1"/>
        <v>6593</v>
      </c>
    </row>
    <row r="43" spans="1:9" ht="14.25" customHeight="1" x14ac:dyDescent="0.3">
      <c r="A43" s="40" t="s">
        <v>164</v>
      </c>
      <c r="B43" s="41" t="s">
        <v>21</v>
      </c>
      <c r="C43" s="42">
        <v>9591</v>
      </c>
      <c r="D43" s="42">
        <v>1363</v>
      </c>
      <c r="E43" s="42">
        <v>413369</v>
      </c>
      <c r="F43" s="43">
        <f t="shared" si="0"/>
        <v>1.9904734026983156E-2</v>
      </c>
      <c r="G43" s="60">
        <v>10.494255737609739</v>
      </c>
      <c r="H43" s="44">
        <v>15997</v>
      </c>
      <c r="I43" s="42">
        <f t="shared" si="1"/>
        <v>8228</v>
      </c>
    </row>
    <row r="44" spans="1:9" ht="14.25" customHeight="1" x14ac:dyDescent="0.3">
      <c r="A44" s="40" t="s">
        <v>76</v>
      </c>
      <c r="B44" s="41" t="s">
        <v>26</v>
      </c>
      <c r="C44" s="42">
        <v>7907</v>
      </c>
      <c r="D44" s="42">
        <v>465</v>
      </c>
      <c r="E44" s="42">
        <v>420811</v>
      </c>
      <c r="F44" s="43">
        <f t="shared" si="0"/>
        <v>1.76848989213685E-2</v>
      </c>
      <c r="G44" s="60">
        <v>33.257448118038738</v>
      </c>
      <c r="H44" s="44">
        <v>22693</v>
      </c>
      <c r="I44" s="42">
        <f t="shared" si="1"/>
        <v>7442</v>
      </c>
    </row>
    <row r="45" spans="1:9" ht="14.25" customHeight="1" x14ac:dyDescent="0.3">
      <c r="A45" s="40" t="s">
        <v>76</v>
      </c>
      <c r="B45" s="41" t="s">
        <v>14</v>
      </c>
      <c r="C45" s="42">
        <v>9800</v>
      </c>
      <c r="D45" s="42">
        <v>682</v>
      </c>
      <c r="E45" s="42">
        <v>429929</v>
      </c>
      <c r="F45" s="43">
        <f t="shared" si="0"/>
        <v>2.1208152974095722E-2</v>
      </c>
      <c r="G45" s="60">
        <v>6.2966210699906267</v>
      </c>
      <c r="H45" s="44">
        <v>59815</v>
      </c>
      <c r="I45" s="42">
        <f t="shared" si="1"/>
        <v>9118</v>
      </c>
    </row>
    <row r="46" spans="1:9" ht="14.25" customHeight="1" x14ac:dyDescent="0.3">
      <c r="A46" s="40" t="s">
        <v>76</v>
      </c>
      <c r="B46" s="41" t="s">
        <v>21</v>
      </c>
      <c r="C46" s="42">
        <v>6671</v>
      </c>
      <c r="D46" s="42">
        <v>550</v>
      </c>
      <c r="E46" s="42">
        <v>438545</v>
      </c>
      <c r="F46" s="43">
        <f t="shared" si="0"/>
        <v>1.3957518612685129E-2</v>
      </c>
      <c r="G46" s="60">
        <v>17.750287883797562</v>
      </c>
      <c r="H46" s="44">
        <v>10541</v>
      </c>
      <c r="I46" s="42">
        <f t="shared" si="1"/>
        <v>6121</v>
      </c>
    </row>
    <row r="47" spans="1:9" ht="14.25" customHeight="1" x14ac:dyDescent="0.3">
      <c r="A47" s="40" t="s">
        <v>534</v>
      </c>
      <c r="B47" s="41" t="s">
        <v>14</v>
      </c>
      <c r="C47" s="42">
        <v>7928</v>
      </c>
      <c r="D47" s="42">
        <v>704</v>
      </c>
      <c r="E47" s="42">
        <v>445769</v>
      </c>
      <c r="F47" s="43">
        <f t="shared" si="0"/>
        <v>1.6205702953772022E-2</v>
      </c>
      <c r="G47" s="60">
        <v>11.194362999670229</v>
      </c>
      <c r="H47" s="44">
        <v>31817</v>
      </c>
      <c r="I47" s="42">
        <f>(C47-D47)</f>
        <v>7224</v>
      </c>
    </row>
    <row r="48" spans="1:9" ht="14.25" customHeight="1" x14ac:dyDescent="0.3">
      <c r="A48" s="40" t="s">
        <v>534</v>
      </c>
      <c r="B48" s="41" t="s">
        <v>21</v>
      </c>
      <c r="C48" s="42">
        <v>2382</v>
      </c>
      <c r="D48" s="42">
        <v>183</v>
      </c>
      <c r="E48" s="42">
        <v>447968</v>
      </c>
      <c r="F48" s="43">
        <f t="shared" si="0"/>
        <v>4.9088327737695546E-3</v>
      </c>
      <c r="G48" s="60">
        <v>4.7335970426459033</v>
      </c>
      <c r="H48" s="44">
        <v>47861</v>
      </c>
      <c r="I48" s="42">
        <f t="shared" si="1"/>
        <v>2199</v>
      </c>
    </row>
    <row r="49" spans="1:9" ht="14.25" customHeight="1" x14ac:dyDescent="0.3">
      <c r="A49" s="40" t="s">
        <v>534</v>
      </c>
      <c r="B49" s="41" t="s">
        <v>53</v>
      </c>
      <c r="C49" s="42">
        <v>4292</v>
      </c>
      <c r="D49" s="42">
        <v>367</v>
      </c>
      <c r="E49" s="42">
        <v>453977</v>
      </c>
      <c r="F49" s="43">
        <f t="shared" si="0"/>
        <v>8.6458124530537899E-3</v>
      </c>
      <c r="G49" s="60">
        <v>3.5037017293827661</v>
      </c>
      <c r="H49" s="44">
        <v>53934</v>
      </c>
      <c r="I49" s="42">
        <f t="shared" si="1"/>
        <v>3925</v>
      </c>
    </row>
    <row r="50" spans="1:9" ht="14.25" customHeight="1" x14ac:dyDescent="0.3">
      <c r="A50" s="40" t="s">
        <v>535</v>
      </c>
      <c r="B50" s="41" t="s">
        <v>26</v>
      </c>
      <c r="C50" s="42">
        <v>1419</v>
      </c>
      <c r="D50" s="42">
        <v>110</v>
      </c>
      <c r="E50" s="42">
        <v>455286</v>
      </c>
      <c r="F50" s="43">
        <f>(C50-D50)/E50</f>
        <v>2.8751158612388694E-3</v>
      </c>
      <c r="G50" s="60">
        <v>31.554451487636339</v>
      </c>
      <c r="H50" s="44">
        <v>58831</v>
      </c>
      <c r="I50" s="42">
        <f t="shared" si="1"/>
        <v>1309</v>
      </c>
    </row>
    <row r="51" spans="1:9" ht="14.25" customHeight="1" x14ac:dyDescent="0.3">
      <c r="A51" s="40" t="s">
        <v>535</v>
      </c>
      <c r="B51" s="41" t="s">
        <v>53</v>
      </c>
      <c r="C51" s="42">
        <v>5517</v>
      </c>
      <c r="D51" s="42">
        <v>575</v>
      </c>
      <c r="E51" s="42">
        <v>460228</v>
      </c>
      <c r="F51" s="43">
        <f t="shared" si="0"/>
        <v>1.07381558705685E-2</v>
      </c>
      <c r="G51" s="60">
        <v>29.45844233727631</v>
      </c>
      <c r="H51" s="44">
        <v>20258</v>
      </c>
      <c r="I51" s="42">
        <f t="shared" si="1"/>
        <v>4942</v>
      </c>
    </row>
    <row r="52" spans="1:9" ht="14.25" customHeight="1" x14ac:dyDescent="0.3">
      <c r="A52" s="40" t="s">
        <v>536</v>
      </c>
      <c r="B52" s="41" t="s">
        <v>26</v>
      </c>
      <c r="C52" s="42">
        <v>8870</v>
      </c>
      <c r="D52" s="42">
        <v>509</v>
      </c>
      <c r="E52" s="42">
        <v>480320</v>
      </c>
      <c r="F52" s="43">
        <f t="shared" si="0"/>
        <v>1.7407145236508995E-2</v>
      </c>
      <c r="G52" s="60">
        <v>25.077864756828781</v>
      </c>
      <c r="H52" s="44">
        <v>15469</v>
      </c>
      <c r="I52" s="42">
        <f t="shared" si="1"/>
        <v>8361</v>
      </c>
    </row>
    <row r="53" spans="1:9" ht="14.25" customHeight="1" x14ac:dyDescent="0.3">
      <c r="A53" s="40" t="s">
        <v>536</v>
      </c>
      <c r="B53" s="41" t="s">
        <v>53</v>
      </c>
      <c r="C53" s="42">
        <v>6693</v>
      </c>
      <c r="D53" s="42">
        <v>995</v>
      </c>
      <c r="E53" s="42">
        <v>486018</v>
      </c>
      <c r="F53" s="43">
        <f t="shared" si="0"/>
        <v>1.1723845618886543E-2</v>
      </c>
      <c r="G53" s="60">
        <v>23.761877132122681</v>
      </c>
      <c r="H53" s="44">
        <v>38854</v>
      </c>
      <c r="I53" s="42">
        <f t="shared" si="1"/>
        <v>5698</v>
      </c>
    </row>
    <row r="54" spans="1:9" ht="14.25" customHeight="1" x14ac:dyDescent="0.3">
      <c r="A54" s="40" t="s">
        <v>537</v>
      </c>
      <c r="B54" s="41" t="s">
        <v>21</v>
      </c>
      <c r="C54" s="42">
        <v>2549</v>
      </c>
      <c r="D54" s="42">
        <v>128</v>
      </c>
      <c r="E54" s="42">
        <v>492814</v>
      </c>
      <c r="F54" s="43">
        <f t="shared" si="0"/>
        <v>4.9126039438814641E-3</v>
      </c>
      <c r="G54" s="60">
        <v>12.734216154573531</v>
      </c>
      <c r="H54" s="44">
        <v>43937</v>
      </c>
      <c r="I54" s="42">
        <f t="shared" si="1"/>
        <v>2421</v>
      </c>
    </row>
    <row r="55" spans="1:9" ht="14.25" customHeight="1" x14ac:dyDescent="0.3">
      <c r="A55" s="40" t="s">
        <v>537</v>
      </c>
      <c r="B55" s="41" t="s">
        <v>14</v>
      </c>
      <c r="C55" s="42">
        <v>7140</v>
      </c>
      <c r="D55" s="42">
        <v>939</v>
      </c>
      <c r="E55" s="42">
        <v>499015</v>
      </c>
      <c r="F55" s="43">
        <f t="shared" si="0"/>
        <v>1.2426480165926877E-2</v>
      </c>
      <c r="G55" s="60">
        <v>25.120888149654821</v>
      </c>
      <c r="H55" s="44">
        <v>43598</v>
      </c>
      <c r="I55" s="42">
        <f t="shared" si="1"/>
        <v>6201</v>
      </c>
    </row>
    <row r="56" spans="1:9" ht="14.25" customHeight="1" x14ac:dyDescent="0.3">
      <c r="A56" s="40" t="s">
        <v>537</v>
      </c>
      <c r="B56" s="41" t="s">
        <v>26</v>
      </c>
      <c r="C56" s="42">
        <v>5481</v>
      </c>
      <c r="D56" s="42">
        <v>673</v>
      </c>
      <c r="E56" s="42">
        <v>507970</v>
      </c>
      <c r="F56" s="43">
        <f t="shared" si="0"/>
        <v>9.4651258932614123E-3</v>
      </c>
      <c r="G56" s="60">
        <v>13.08758391243577</v>
      </c>
      <c r="H56" s="44">
        <v>29194</v>
      </c>
      <c r="I56" s="42">
        <f t="shared" si="1"/>
        <v>4808</v>
      </c>
    </row>
    <row r="57" spans="1:9" ht="14.25" customHeight="1" x14ac:dyDescent="0.3">
      <c r="A57" s="40" t="s">
        <v>538</v>
      </c>
      <c r="B57" s="41" t="s">
        <v>53</v>
      </c>
      <c r="C57" s="42">
        <v>8898</v>
      </c>
      <c r="D57" s="42">
        <v>1131</v>
      </c>
      <c r="E57" s="42">
        <v>515737</v>
      </c>
      <c r="F57" s="43">
        <f t="shared" si="0"/>
        <v>1.5060001512398761E-2</v>
      </c>
      <c r="G57" s="60">
        <v>2.1877429775253669</v>
      </c>
      <c r="H57" s="44">
        <v>35051</v>
      </c>
      <c r="I57" s="42">
        <f t="shared" si="1"/>
        <v>7767</v>
      </c>
    </row>
    <row r="58" spans="1:9" ht="14.25" customHeight="1" x14ac:dyDescent="0.3">
      <c r="A58" s="40" t="s">
        <v>538</v>
      </c>
      <c r="B58" s="41" t="s">
        <v>14</v>
      </c>
      <c r="C58" s="42">
        <v>7548</v>
      </c>
      <c r="D58" s="42">
        <v>433</v>
      </c>
      <c r="E58" s="42">
        <v>522852</v>
      </c>
      <c r="F58" s="43">
        <f t="shared" si="0"/>
        <v>1.3608057347012157E-2</v>
      </c>
      <c r="G58" s="60">
        <v>8.3562843787534522</v>
      </c>
      <c r="H58" s="44">
        <v>37386</v>
      </c>
      <c r="I58" s="42">
        <f t="shared" si="1"/>
        <v>7115</v>
      </c>
    </row>
    <row r="59" spans="1:9" ht="14.25" customHeight="1" x14ac:dyDescent="0.3">
      <c r="A59" s="40" t="s">
        <v>138</v>
      </c>
      <c r="B59" s="41" t="s">
        <v>26</v>
      </c>
      <c r="C59" s="42">
        <v>8758</v>
      </c>
      <c r="D59" s="42">
        <v>1193</v>
      </c>
      <c r="E59" s="42">
        <v>538906</v>
      </c>
      <c r="F59" s="43">
        <f t="shared" si="0"/>
        <v>1.4037698596786824E-2</v>
      </c>
      <c r="G59" s="60">
        <v>3.4213758985797149</v>
      </c>
      <c r="H59" s="44">
        <v>26184</v>
      </c>
      <c r="I59" s="42">
        <f t="shared" si="1"/>
        <v>7565</v>
      </c>
    </row>
    <row r="60" spans="1:9" ht="14.25" customHeight="1" x14ac:dyDescent="0.3">
      <c r="A60" s="40" t="s">
        <v>138</v>
      </c>
      <c r="B60" s="41" t="s">
        <v>14</v>
      </c>
      <c r="C60" s="42">
        <v>7793</v>
      </c>
      <c r="D60" s="42">
        <v>875</v>
      </c>
      <c r="E60" s="42">
        <v>545824</v>
      </c>
      <c r="F60" s="43">
        <f t="shared" si="0"/>
        <v>1.267441519610717E-2</v>
      </c>
      <c r="G60" s="60">
        <v>5.5136820660139527</v>
      </c>
      <c r="H60" s="44">
        <v>43787</v>
      </c>
      <c r="I60" s="42">
        <f t="shared" si="1"/>
        <v>6918</v>
      </c>
    </row>
    <row r="61" spans="1:9" ht="14.25" customHeight="1" x14ac:dyDescent="0.3">
      <c r="A61" s="40" t="s">
        <v>169</v>
      </c>
      <c r="B61" s="41" t="s">
        <v>14</v>
      </c>
      <c r="C61" s="42">
        <v>7007</v>
      </c>
      <c r="D61" s="42">
        <v>568</v>
      </c>
      <c r="E61" s="42">
        <v>568671</v>
      </c>
      <c r="F61" s="43">
        <f t="shared" si="0"/>
        <v>1.1322891443382905E-2</v>
      </c>
      <c r="G61" s="60">
        <v>11.50507059442103</v>
      </c>
      <c r="H61" s="44">
        <v>22448</v>
      </c>
      <c r="I61" s="42">
        <f t="shared" si="1"/>
        <v>6439</v>
      </c>
    </row>
    <row r="62" spans="1:9" ht="14.25" customHeight="1" x14ac:dyDescent="0.3">
      <c r="A62" s="40" t="s">
        <v>169</v>
      </c>
      <c r="B62" s="41" t="s">
        <v>21</v>
      </c>
      <c r="C62" s="42">
        <v>7356</v>
      </c>
      <c r="D62" s="42">
        <v>904</v>
      </c>
      <c r="E62" s="42">
        <v>581126</v>
      </c>
      <c r="F62" s="43">
        <f t="shared" si="0"/>
        <v>1.1102583604932494E-2</v>
      </c>
      <c r="G62" s="60">
        <v>17.560907617280929</v>
      </c>
      <c r="H62" s="44">
        <v>44051</v>
      </c>
      <c r="I62" s="42">
        <f t="shared" si="1"/>
        <v>6452</v>
      </c>
    </row>
    <row r="63" spans="1:9" ht="14.25" customHeight="1" x14ac:dyDescent="0.3">
      <c r="A63" s="40" t="s">
        <v>242</v>
      </c>
      <c r="B63" s="41" t="s">
        <v>53</v>
      </c>
      <c r="C63" s="42">
        <v>8380</v>
      </c>
      <c r="D63" s="42">
        <v>1162</v>
      </c>
      <c r="E63" s="42">
        <v>596704</v>
      </c>
      <c r="F63" s="43">
        <f t="shared" si="0"/>
        <v>1.2096449831072022E-2</v>
      </c>
      <c r="G63" s="60">
        <v>18.05853488496809</v>
      </c>
      <c r="H63" s="44">
        <v>40447</v>
      </c>
      <c r="I63" s="42">
        <f t="shared" si="1"/>
        <v>7218</v>
      </c>
    </row>
    <row r="64" spans="1:9" ht="14.25" customHeight="1" x14ac:dyDescent="0.3">
      <c r="A64" s="40" t="s">
        <v>242</v>
      </c>
      <c r="B64" s="41" t="s">
        <v>14</v>
      </c>
      <c r="C64" s="42">
        <v>3385</v>
      </c>
      <c r="D64" s="42">
        <v>329</v>
      </c>
      <c r="E64" s="42">
        <v>599760</v>
      </c>
      <c r="F64" s="43">
        <f t="shared" si="0"/>
        <v>5.0953714819261036E-3</v>
      </c>
      <c r="G64" s="60">
        <v>17.61788048552755</v>
      </c>
      <c r="H64" s="44">
        <v>28394</v>
      </c>
      <c r="I64" s="42">
        <f t="shared" si="1"/>
        <v>3056</v>
      </c>
    </row>
    <row r="65" spans="1:9" ht="14.25" customHeight="1" x14ac:dyDescent="0.3">
      <c r="A65" s="40" t="s">
        <v>242</v>
      </c>
      <c r="B65" s="41" t="s">
        <v>21</v>
      </c>
      <c r="C65" s="42">
        <v>5268</v>
      </c>
      <c r="D65" s="42">
        <v>326</v>
      </c>
      <c r="E65" s="42">
        <v>604702</v>
      </c>
      <c r="F65" s="43">
        <f t="shared" si="0"/>
        <v>8.1726205635172366E-3</v>
      </c>
      <c r="G65" s="60">
        <v>23.435841125050029</v>
      </c>
      <c r="H65" s="44">
        <v>44501</v>
      </c>
      <c r="I65" s="42">
        <f t="shared" si="1"/>
        <v>4942</v>
      </c>
    </row>
    <row r="66" spans="1:9" ht="14.25" customHeight="1" x14ac:dyDescent="0.3">
      <c r="A66" s="40" t="s">
        <v>539</v>
      </c>
      <c r="B66" s="41" t="s">
        <v>53</v>
      </c>
      <c r="C66" s="42">
        <v>1163</v>
      </c>
      <c r="D66" s="42">
        <v>146</v>
      </c>
      <c r="E66" s="42">
        <v>607188</v>
      </c>
      <c r="F66" s="43">
        <f>(C66-D66)/E66</f>
        <v>1.6749342872388782E-3</v>
      </c>
      <c r="G66" s="60">
        <v>21.77776899411715</v>
      </c>
      <c r="H66" s="44">
        <v>28509</v>
      </c>
      <c r="I66" s="42">
        <f>(C66-D66)</f>
        <v>1017</v>
      </c>
    </row>
    <row r="67" spans="1:9" ht="14.25" customHeight="1" x14ac:dyDescent="0.3">
      <c r="A67" s="40" t="s">
        <v>539</v>
      </c>
      <c r="B67" s="41" t="s">
        <v>21</v>
      </c>
      <c r="C67" s="42">
        <v>5592</v>
      </c>
      <c r="D67" s="42">
        <v>710</v>
      </c>
      <c r="E67" s="42">
        <v>620702</v>
      </c>
      <c r="F67" s="43">
        <f t="shared" si="0"/>
        <v>7.8652880126050834E-3</v>
      </c>
      <c r="G67" s="60">
        <v>9.07118069540617</v>
      </c>
      <c r="H67" s="44">
        <v>24472</v>
      </c>
      <c r="I67" s="42">
        <f t="shared" si="1"/>
        <v>4882</v>
      </c>
    </row>
    <row r="68" spans="1:9" ht="14.25" customHeight="1" x14ac:dyDescent="0.3">
      <c r="A68" s="40" t="s">
        <v>539</v>
      </c>
      <c r="B68" s="41" t="s">
        <v>14</v>
      </c>
      <c r="C68" s="42">
        <v>5795</v>
      </c>
      <c r="D68" s="42">
        <v>575</v>
      </c>
      <c r="E68" s="42">
        <v>625922</v>
      </c>
      <c r="F68" s="43">
        <f t="shared" ref="F68:F82" si="2">(C68-D68)/E68</f>
        <v>8.3396972785746461E-3</v>
      </c>
      <c r="G68" s="60">
        <v>3.0908004511744269</v>
      </c>
      <c r="H68" s="44">
        <v>55657</v>
      </c>
      <c r="I68" s="42">
        <f t="shared" ref="I68:I82" si="3">(C68-D68)</f>
        <v>5220</v>
      </c>
    </row>
    <row r="69" spans="1:9" ht="14.25" customHeight="1" x14ac:dyDescent="0.3">
      <c r="A69" s="40" t="s">
        <v>62</v>
      </c>
      <c r="B69" s="41" t="s">
        <v>26</v>
      </c>
      <c r="C69" s="42">
        <v>5798</v>
      </c>
      <c r="D69" s="42">
        <v>592</v>
      </c>
      <c r="E69" s="42">
        <v>631128</v>
      </c>
      <c r="F69" s="43">
        <f t="shared" si="2"/>
        <v>8.2487229214992831E-3</v>
      </c>
      <c r="G69" s="60">
        <v>1.6774727155188811</v>
      </c>
      <c r="H69" s="44">
        <v>13471</v>
      </c>
      <c r="I69" s="42">
        <f t="shared" si="3"/>
        <v>5206</v>
      </c>
    </row>
    <row r="70" spans="1:9" ht="14.25" customHeight="1" x14ac:dyDescent="0.3">
      <c r="A70" s="40" t="s">
        <v>62</v>
      </c>
      <c r="B70" s="41" t="s">
        <v>53</v>
      </c>
      <c r="C70" s="42">
        <v>7036</v>
      </c>
      <c r="D70" s="42">
        <v>652</v>
      </c>
      <c r="E70" s="42">
        <v>637512</v>
      </c>
      <c r="F70" s="43">
        <f t="shared" si="2"/>
        <v>1.0013929149568949E-2</v>
      </c>
      <c r="G70" s="60">
        <v>3.5705994553828009</v>
      </c>
      <c r="H70" s="44">
        <v>51796</v>
      </c>
      <c r="I70" s="42">
        <f t="shared" si="3"/>
        <v>6384</v>
      </c>
    </row>
    <row r="71" spans="1:9" ht="14.25" customHeight="1" x14ac:dyDescent="0.3">
      <c r="A71" s="40" t="s">
        <v>62</v>
      </c>
      <c r="B71" s="41" t="s">
        <v>21</v>
      </c>
      <c r="C71" s="42">
        <v>3355</v>
      </c>
      <c r="D71" s="42">
        <v>176</v>
      </c>
      <c r="E71" s="42">
        <v>640691</v>
      </c>
      <c r="F71" s="43">
        <f t="shared" si="2"/>
        <v>4.9618302738761748E-3</v>
      </c>
      <c r="G71" s="60">
        <v>12.426427091999111</v>
      </c>
      <c r="H71" s="44">
        <v>40268</v>
      </c>
      <c r="I71" s="42">
        <f t="shared" si="3"/>
        <v>3179</v>
      </c>
    </row>
    <row r="72" spans="1:9" ht="14.25" customHeight="1" x14ac:dyDescent="0.3">
      <c r="A72" s="40" t="s">
        <v>461</v>
      </c>
      <c r="B72" s="41" t="s">
        <v>26</v>
      </c>
      <c r="C72" s="42">
        <v>8961</v>
      </c>
      <c r="D72" s="42">
        <v>476</v>
      </c>
      <c r="E72" s="42">
        <v>655645</v>
      </c>
      <c r="F72" s="43">
        <f t="shared" si="2"/>
        <v>1.2941454598143812E-2</v>
      </c>
      <c r="G72" s="60">
        <v>15.458517947974901</v>
      </c>
      <c r="H72" s="44">
        <v>44865</v>
      </c>
      <c r="I72" s="42">
        <f t="shared" si="3"/>
        <v>8485</v>
      </c>
    </row>
    <row r="73" spans="1:9" ht="14.25" customHeight="1" x14ac:dyDescent="0.3">
      <c r="A73" s="40" t="s">
        <v>461</v>
      </c>
      <c r="B73" s="41" t="s">
        <v>21</v>
      </c>
      <c r="C73" s="42">
        <v>9737</v>
      </c>
      <c r="D73" s="42">
        <v>792</v>
      </c>
      <c r="E73" s="42">
        <v>670642</v>
      </c>
      <c r="F73" s="43">
        <f t="shared" si="2"/>
        <v>1.3337965710468476E-2</v>
      </c>
      <c r="G73" s="60">
        <v>5.301785453341723</v>
      </c>
      <c r="H73" s="44">
        <v>56698</v>
      </c>
      <c r="I73" s="42">
        <f t="shared" si="3"/>
        <v>8945</v>
      </c>
    </row>
    <row r="74" spans="1:9" ht="14.25" customHeight="1" x14ac:dyDescent="0.3">
      <c r="A74" s="40" t="s">
        <v>461</v>
      </c>
      <c r="B74" s="41" t="s">
        <v>14</v>
      </c>
      <c r="C74" s="42">
        <v>5719</v>
      </c>
      <c r="D74" s="42">
        <v>576</v>
      </c>
      <c r="E74" s="42">
        <v>675785</v>
      </c>
      <c r="F74" s="43">
        <f t="shared" si="2"/>
        <v>7.6104086358827145E-3</v>
      </c>
      <c r="G74" s="60">
        <v>10.21656296011305</v>
      </c>
      <c r="H74" s="44">
        <v>38272</v>
      </c>
      <c r="I74" s="42">
        <f t="shared" si="3"/>
        <v>5143</v>
      </c>
    </row>
    <row r="75" spans="1:9" ht="14.25" customHeight="1" x14ac:dyDescent="0.3">
      <c r="A75" s="40" t="s">
        <v>540</v>
      </c>
      <c r="B75" s="41" t="s">
        <v>26</v>
      </c>
      <c r="C75" s="42">
        <v>1593</v>
      </c>
      <c r="D75" s="42">
        <v>224</v>
      </c>
      <c r="E75" s="42">
        <v>677154</v>
      </c>
      <c r="F75" s="43">
        <f t="shared" si="2"/>
        <v>2.0216966893793729E-3</v>
      </c>
      <c r="G75" s="60">
        <v>4.1495730660972248</v>
      </c>
      <c r="H75" s="44">
        <v>52845</v>
      </c>
      <c r="I75" s="42">
        <f t="shared" si="3"/>
        <v>1369</v>
      </c>
    </row>
    <row r="76" spans="1:9" ht="14.25" customHeight="1" x14ac:dyDescent="0.3">
      <c r="A76" s="40" t="s">
        <v>540</v>
      </c>
      <c r="B76" s="41" t="s">
        <v>21</v>
      </c>
      <c r="C76" s="42">
        <v>5839</v>
      </c>
      <c r="D76" s="42">
        <v>437</v>
      </c>
      <c r="E76" s="42">
        <v>682556</v>
      </c>
      <c r="F76" s="43">
        <f t="shared" si="2"/>
        <v>7.9143689309009082E-3</v>
      </c>
      <c r="G76" s="60">
        <v>17.44750613869045</v>
      </c>
      <c r="H76" s="44">
        <v>16397</v>
      </c>
      <c r="I76" s="42">
        <f t="shared" si="3"/>
        <v>5402</v>
      </c>
    </row>
    <row r="77" spans="1:9" ht="14.25" customHeight="1" x14ac:dyDescent="0.3">
      <c r="A77" s="40" t="s">
        <v>540</v>
      </c>
      <c r="B77" s="41" t="s">
        <v>14</v>
      </c>
      <c r="C77" s="42">
        <v>4493</v>
      </c>
      <c r="D77" s="42">
        <v>564</v>
      </c>
      <c r="E77" s="42">
        <v>694115</v>
      </c>
      <c r="F77" s="43">
        <f t="shared" si="2"/>
        <v>5.660445315257558E-3</v>
      </c>
      <c r="G77" s="60">
        <v>16.625487131094989</v>
      </c>
      <c r="H77" s="44">
        <v>45525</v>
      </c>
      <c r="I77" s="42">
        <f t="shared" si="3"/>
        <v>3929</v>
      </c>
    </row>
    <row r="78" spans="1:9" ht="14.25" customHeight="1" x14ac:dyDescent="0.3">
      <c r="A78" s="40" t="s">
        <v>187</v>
      </c>
      <c r="B78" s="41" t="s">
        <v>53</v>
      </c>
      <c r="C78" s="42">
        <v>7164</v>
      </c>
      <c r="D78" s="42">
        <v>522</v>
      </c>
      <c r="E78" s="42">
        <v>700757</v>
      </c>
      <c r="F78" s="43">
        <f t="shared" si="2"/>
        <v>9.4783213011072308E-3</v>
      </c>
      <c r="G78" s="60">
        <v>13.449169969047761</v>
      </c>
      <c r="H78" s="44">
        <v>34570</v>
      </c>
      <c r="I78" s="42">
        <f t="shared" si="3"/>
        <v>6642</v>
      </c>
    </row>
    <row r="79" spans="1:9" ht="14.25" customHeight="1" x14ac:dyDescent="0.3">
      <c r="A79" s="40" t="s">
        <v>187</v>
      </c>
      <c r="B79" s="41" t="s">
        <v>26</v>
      </c>
      <c r="C79" s="42">
        <v>3672</v>
      </c>
      <c r="D79" s="42">
        <v>211</v>
      </c>
      <c r="E79" s="42">
        <v>704218</v>
      </c>
      <c r="F79" s="43">
        <f t="shared" si="2"/>
        <v>4.9146713091684675E-3</v>
      </c>
      <c r="G79" s="60">
        <v>12.35057894004413</v>
      </c>
      <c r="H79" s="44">
        <v>28284</v>
      </c>
      <c r="I79" s="42">
        <f t="shared" si="3"/>
        <v>3461</v>
      </c>
    </row>
    <row r="80" spans="1:9" ht="14.25" customHeight="1" x14ac:dyDescent="0.3">
      <c r="A80" s="40" t="s">
        <v>187</v>
      </c>
      <c r="B80" s="41" t="s">
        <v>14</v>
      </c>
      <c r="C80" s="42">
        <v>5200</v>
      </c>
      <c r="D80" s="42">
        <v>410</v>
      </c>
      <c r="E80" s="42">
        <v>709008</v>
      </c>
      <c r="F80" s="43">
        <f t="shared" si="2"/>
        <v>6.7559181278631555E-3</v>
      </c>
      <c r="G80" s="60">
        <v>12.913394489201821</v>
      </c>
      <c r="H80" s="44">
        <v>28994</v>
      </c>
      <c r="I80" s="42">
        <f t="shared" si="3"/>
        <v>4790</v>
      </c>
    </row>
    <row r="81" spans="1:9" ht="14.25" customHeight="1" x14ac:dyDescent="0.3">
      <c r="A81" s="40" t="s">
        <v>187</v>
      </c>
      <c r="B81" s="41" t="s">
        <v>21</v>
      </c>
      <c r="C81" s="42">
        <v>1016</v>
      </c>
      <c r="D81" s="42">
        <v>67</v>
      </c>
      <c r="E81" s="42">
        <v>709957</v>
      </c>
      <c r="F81" s="43">
        <f t="shared" si="2"/>
        <v>1.3367006734210664E-3</v>
      </c>
      <c r="G81" s="60">
        <v>20.774215903216671</v>
      </c>
      <c r="H81" s="44">
        <v>33284</v>
      </c>
      <c r="I81" s="42">
        <f t="shared" si="3"/>
        <v>949</v>
      </c>
    </row>
    <row r="82" spans="1:9" ht="14.25" customHeight="1" x14ac:dyDescent="0.3">
      <c r="A82" s="40" t="s">
        <v>97</v>
      </c>
      <c r="B82" s="41" t="s">
        <v>26</v>
      </c>
      <c r="C82" s="42">
        <v>4191</v>
      </c>
      <c r="D82" s="42">
        <v>599</v>
      </c>
      <c r="E82" s="42">
        <v>713549</v>
      </c>
      <c r="F82" s="43">
        <f t="shared" si="2"/>
        <v>5.033992059410076E-3</v>
      </c>
      <c r="G82" s="60">
        <v>11.56416728213479</v>
      </c>
      <c r="H82" s="44">
        <v>27833</v>
      </c>
      <c r="I82" s="42">
        <f t="shared" si="3"/>
        <v>3592</v>
      </c>
    </row>
    <row r="83" spans="1:9" ht="14.25" customHeight="1" x14ac:dyDescent="0.3">
      <c r="A83" s="40" t="s">
        <v>97</v>
      </c>
      <c r="B83" s="41" t="s">
        <v>21</v>
      </c>
      <c r="C83" s="42">
        <v>9616</v>
      </c>
      <c r="D83" s="42">
        <v>1089</v>
      </c>
      <c r="E83" s="42">
        <v>723286</v>
      </c>
      <c r="F83" s="43">
        <f>(C83-D83)/E83</f>
        <v>1.178925072516266E-2</v>
      </c>
      <c r="G83" s="60">
        <v>19.25863351426683</v>
      </c>
      <c r="H83" s="44">
        <v>15017</v>
      </c>
      <c r="I83" s="42">
        <f>(C83-D83)</f>
        <v>8527</v>
      </c>
    </row>
    <row r="84" spans="1:9" ht="14.25" customHeight="1" x14ac:dyDescent="0.3">
      <c r="A84" s="40" t="s">
        <v>97</v>
      </c>
      <c r="B84" s="41" t="s">
        <v>53</v>
      </c>
      <c r="C84" s="42">
        <v>7272</v>
      </c>
      <c r="D84" s="42">
        <v>997</v>
      </c>
      <c r="E84" s="42">
        <v>729561</v>
      </c>
      <c r="F84" s="43">
        <f t="shared" ref="F84:F107" si="4">(C84-D84)/E84</f>
        <v>8.6010628309353167E-3</v>
      </c>
      <c r="G84" s="60">
        <v>13.428486445958599</v>
      </c>
      <c r="H84" s="44">
        <v>26370</v>
      </c>
      <c r="I84" s="42">
        <f t="shared" ref="I84:I105" si="5">(C84-D84)</f>
        <v>6275</v>
      </c>
    </row>
    <row r="85" spans="1:9" ht="14.25" customHeight="1" x14ac:dyDescent="0.3">
      <c r="A85" s="40" t="s">
        <v>15</v>
      </c>
      <c r="B85" s="41" t="s">
        <v>21</v>
      </c>
      <c r="C85" s="42">
        <v>1571</v>
      </c>
      <c r="D85" s="42">
        <v>204</v>
      </c>
      <c r="E85" s="42">
        <v>730928</v>
      </c>
      <c r="F85" s="43">
        <f t="shared" si="4"/>
        <v>1.8702252479040344E-3</v>
      </c>
      <c r="G85" s="60">
        <v>19.449384891535139</v>
      </c>
      <c r="H85" s="44">
        <v>39252</v>
      </c>
      <c r="I85" s="42">
        <f t="shared" si="5"/>
        <v>1367</v>
      </c>
    </row>
    <row r="86" spans="1:9" ht="14.25" customHeight="1" x14ac:dyDescent="0.3">
      <c r="A86" s="40" t="s">
        <v>15</v>
      </c>
      <c r="B86" s="41" t="s">
        <v>26</v>
      </c>
      <c r="C86" s="42">
        <v>4631</v>
      </c>
      <c r="D86" s="42">
        <v>317</v>
      </c>
      <c r="E86" s="42">
        <v>735242</v>
      </c>
      <c r="F86" s="43">
        <f t="shared" si="4"/>
        <v>5.8674558852731479E-3</v>
      </c>
      <c r="G86" s="60">
        <v>1.381177897889402</v>
      </c>
      <c r="H86" s="44">
        <v>17999</v>
      </c>
      <c r="I86" s="42">
        <f t="shared" si="5"/>
        <v>4314</v>
      </c>
    </row>
    <row r="87" spans="1:9" ht="14.25" customHeight="1" x14ac:dyDescent="0.3">
      <c r="A87" s="40" t="s">
        <v>15</v>
      </c>
      <c r="B87" s="41" t="s">
        <v>14</v>
      </c>
      <c r="C87" s="42">
        <v>8177</v>
      </c>
      <c r="D87" s="42">
        <v>849</v>
      </c>
      <c r="E87" s="42">
        <v>748744</v>
      </c>
      <c r="F87" s="43">
        <f t="shared" si="4"/>
        <v>9.7870567243276748E-3</v>
      </c>
      <c r="G87" s="60">
        <v>10.34986590877523</v>
      </c>
      <c r="H87" s="44">
        <v>52963</v>
      </c>
      <c r="I87" s="42">
        <f t="shared" si="5"/>
        <v>7328</v>
      </c>
    </row>
    <row r="88" spans="1:9" ht="14.25" customHeight="1" x14ac:dyDescent="0.3">
      <c r="A88" s="40" t="s">
        <v>541</v>
      </c>
      <c r="B88" s="41" t="s">
        <v>21</v>
      </c>
      <c r="C88" s="42">
        <v>9433</v>
      </c>
      <c r="D88" s="42">
        <v>1233</v>
      </c>
      <c r="E88" s="42">
        <v>756944</v>
      </c>
      <c r="F88" s="43">
        <f t="shared" si="4"/>
        <v>1.0833033883616226E-2</v>
      </c>
      <c r="G88" s="60">
        <v>11.391727789638329</v>
      </c>
      <c r="H88" s="44">
        <v>12096</v>
      </c>
      <c r="I88" s="42">
        <f t="shared" si="5"/>
        <v>8200</v>
      </c>
    </row>
    <row r="89" spans="1:9" ht="14.25" customHeight="1" x14ac:dyDescent="0.3">
      <c r="A89" s="40" t="s">
        <v>541</v>
      </c>
      <c r="B89" s="41" t="s">
        <v>26</v>
      </c>
      <c r="C89" s="42">
        <v>4897</v>
      </c>
      <c r="D89" s="42">
        <v>683</v>
      </c>
      <c r="E89" s="42">
        <v>761158</v>
      </c>
      <c r="F89" s="43">
        <f t="shared" si="4"/>
        <v>5.5363012672795921E-3</v>
      </c>
      <c r="G89" s="60">
        <v>15.06231294947961</v>
      </c>
      <c r="H89" s="44">
        <v>58201</v>
      </c>
      <c r="I89" s="42">
        <f t="shared" si="5"/>
        <v>4214</v>
      </c>
    </row>
    <row r="90" spans="1:9" ht="14.25" customHeight="1" x14ac:dyDescent="0.3">
      <c r="A90" s="40" t="s">
        <v>541</v>
      </c>
      <c r="B90" s="41" t="s">
        <v>53</v>
      </c>
      <c r="C90" s="42">
        <v>3279</v>
      </c>
      <c r="D90" s="42">
        <v>200</v>
      </c>
      <c r="E90" s="42">
        <v>772614</v>
      </c>
      <c r="F90" s="43">
        <f t="shared" si="4"/>
        <v>3.9851724146857288E-3</v>
      </c>
      <c r="G90" s="60">
        <v>5.0212654702089274</v>
      </c>
      <c r="H90" s="44">
        <v>53363</v>
      </c>
      <c r="I90" s="42">
        <f t="shared" si="5"/>
        <v>3079</v>
      </c>
    </row>
    <row r="91" spans="1:9" ht="14.25" customHeight="1" x14ac:dyDescent="0.3">
      <c r="A91" s="40" t="s">
        <v>107</v>
      </c>
      <c r="B91" s="41" t="s">
        <v>21</v>
      </c>
      <c r="C91" s="42">
        <v>9980</v>
      </c>
      <c r="D91" s="42">
        <v>726</v>
      </c>
      <c r="E91" s="42">
        <v>781868</v>
      </c>
      <c r="F91" s="43">
        <f t="shared" si="4"/>
        <v>1.1835757442432739E-2</v>
      </c>
      <c r="G91" s="60">
        <v>4.0220344099003924</v>
      </c>
      <c r="H91" s="44">
        <v>58709</v>
      </c>
      <c r="I91" s="42">
        <f t="shared" si="5"/>
        <v>9254</v>
      </c>
    </row>
    <row r="92" spans="1:9" ht="14.25" customHeight="1" x14ac:dyDescent="0.3">
      <c r="A92" s="40" t="s">
        <v>107</v>
      </c>
      <c r="B92" s="41" t="s">
        <v>53</v>
      </c>
      <c r="C92" s="42">
        <v>8451</v>
      </c>
      <c r="D92" s="42">
        <v>783</v>
      </c>
      <c r="E92" s="42">
        <v>789536</v>
      </c>
      <c r="F92" s="43">
        <f t="shared" si="4"/>
        <v>9.7120333968305442E-3</v>
      </c>
      <c r="G92" s="60">
        <v>12.407287318121019</v>
      </c>
      <c r="H92" s="44">
        <v>36201</v>
      </c>
      <c r="I92" s="42">
        <f t="shared" si="5"/>
        <v>7668</v>
      </c>
    </row>
    <row r="93" spans="1:9" ht="14.25" customHeight="1" x14ac:dyDescent="0.3">
      <c r="A93" s="40" t="s">
        <v>107</v>
      </c>
      <c r="B93" s="41" t="s">
        <v>14</v>
      </c>
      <c r="C93" s="42">
        <v>9906</v>
      </c>
      <c r="D93" s="42">
        <v>1305</v>
      </c>
      <c r="E93" s="42">
        <v>798137</v>
      </c>
      <c r="F93" s="43">
        <f t="shared" si="4"/>
        <v>1.0776345414383746E-2</v>
      </c>
      <c r="G93" s="60">
        <v>9.1811305577864442</v>
      </c>
      <c r="H93" s="44">
        <v>29715</v>
      </c>
      <c r="I93" s="42">
        <f t="shared" si="5"/>
        <v>8601</v>
      </c>
    </row>
    <row r="94" spans="1:9" ht="14.25" customHeight="1" x14ac:dyDescent="0.3">
      <c r="A94" s="40" t="s">
        <v>542</v>
      </c>
      <c r="B94" s="41" t="s">
        <v>21</v>
      </c>
      <c r="C94" s="42">
        <v>7869</v>
      </c>
      <c r="D94" s="42">
        <v>398</v>
      </c>
      <c r="E94" s="42">
        <v>807142</v>
      </c>
      <c r="F94" s="43">
        <f t="shared" si="4"/>
        <v>9.2561160241940079E-3</v>
      </c>
      <c r="G94" s="60">
        <v>15.211945357818079</v>
      </c>
      <c r="H94" s="44">
        <v>25078</v>
      </c>
      <c r="I94" s="42">
        <f t="shared" si="5"/>
        <v>7471</v>
      </c>
    </row>
    <row r="95" spans="1:9" ht="14.25" customHeight="1" x14ac:dyDescent="0.3">
      <c r="A95" s="40" t="s">
        <v>542</v>
      </c>
      <c r="B95" s="41" t="s">
        <v>26</v>
      </c>
      <c r="C95" s="42">
        <v>3247</v>
      </c>
      <c r="D95" s="42">
        <v>328</v>
      </c>
      <c r="E95" s="42">
        <v>810061</v>
      </c>
      <c r="F95" s="43">
        <f t="shared" si="4"/>
        <v>3.6034323341081723E-3</v>
      </c>
      <c r="G95" s="60">
        <v>13.941172331466399</v>
      </c>
      <c r="H95" s="44">
        <v>15105</v>
      </c>
      <c r="I95" s="42">
        <f t="shared" si="5"/>
        <v>2919</v>
      </c>
    </row>
    <row r="96" spans="1:9" ht="14.25" customHeight="1" x14ac:dyDescent="0.3">
      <c r="A96" s="40" t="s">
        <v>542</v>
      </c>
      <c r="B96" s="41" t="s">
        <v>53</v>
      </c>
      <c r="C96" s="42">
        <v>8088</v>
      </c>
      <c r="D96" s="42">
        <v>742</v>
      </c>
      <c r="E96" s="42">
        <v>817407</v>
      </c>
      <c r="F96" s="43">
        <f t="shared" si="4"/>
        <v>8.9869550909155421E-3</v>
      </c>
      <c r="G96" s="60">
        <v>14.664542877660701</v>
      </c>
      <c r="H96" s="44">
        <v>39312</v>
      </c>
      <c r="I96" s="42">
        <f t="shared" si="5"/>
        <v>7346</v>
      </c>
    </row>
    <row r="97" spans="1:9" ht="14.25" customHeight="1" x14ac:dyDescent="0.3">
      <c r="A97" s="40" t="s">
        <v>542</v>
      </c>
      <c r="B97" s="41" t="s">
        <v>14</v>
      </c>
      <c r="C97" s="42">
        <v>1078</v>
      </c>
      <c r="D97" s="42">
        <v>77</v>
      </c>
      <c r="E97" s="42">
        <v>818408</v>
      </c>
      <c r="F97" s="43">
        <f t="shared" si="4"/>
        <v>1.2231063234963489E-3</v>
      </c>
      <c r="G97" s="60">
        <v>18.236747441373989</v>
      </c>
      <c r="H97" s="44">
        <v>12839</v>
      </c>
      <c r="I97" s="42">
        <f t="shared" si="5"/>
        <v>1001</v>
      </c>
    </row>
    <row r="98" spans="1:9" ht="14.25" customHeight="1" x14ac:dyDescent="0.3">
      <c r="A98" s="40" t="s">
        <v>543</v>
      </c>
      <c r="B98" s="41" t="s">
        <v>53</v>
      </c>
      <c r="C98" s="42">
        <v>9080</v>
      </c>
      <c r="D98" s="42">
        <v>562</v>
      </c>
      <c r="E98" s="42">
        <v>826926</v>
      </c>
      <c r="F98" s="43">
        <f t="shared" si="4"/>
        <v>1.0300800797169276E-2</v>
      </c>
      <c r="G98" s="60">
        <v>7.1083748727213809</v>
      </c>
      <c r="H98" s="44">
        <v>13384</v>
      </c>
      <c r="I98" s="42">
        <f t="shared" si="5"/>
        <v>8518</v>
      </c>
    </row>
    <row r="99" spans="1:9" ht="14.25" customHeight="1" x14ac:dyDescent="0.3">
      <c r="A99" s="40" t="s">
        <v>543</v>
      </c>
      <c r="B99" s="41" t="s">
        <v>14</v>
      </c>
      <c r="C99" s="42">
        <v>8340</v>
      </c>
      <c r="D99" s="42">
        <v>686</v>
      </c>
      <c r="E99" s="42">
        <v>846217</v>
      </c>
      <c r="F99" s="43">
        <f t="shared" si="4"/>
        <v>9.0449612806171465E-3</v>
      </c>
      <c r="G99" s="60">
        <v>7.201344336027284</v>
      </c>
      <c r="H99" s="44">
        <v>23493</v>
      </c>
      <c r="I99" s="42">
        <f t="shared" si="5"/>
        <v>7654</v>
      </c>
    </row>
    <row r="100" spans="1:9" ht="14.25" customHeight="1" x14ac:dyDescent="0.3">
      <c r="A100" s="40" t="s">
        <v>190</v>
      </c>
      <c r="B100" s="41" t="s">
        <v>21</v>
      </c>
      <c r="C100" s="42">
        <v>8083</v>
      </c>
      <c r="D100" s="42">
        <v>823</v>
      </c>
      <c r="E100" s="42">
        <v>853477</v>
      </c>
      <c r="F100" s="43">
        <f t="shared" si="4"/>
        <v>8.5063803711172073E-3</v>
      </c>
      <c r="G100" s="60">
        <v>4.6300017457998282</v>
      </c>
      <c r="H100" s="44">
        <v>27069</v>
      </c>
      <c r="I100" s="42">
        <f t="shared" si="5"/>
        <v>7260</v>
      </c>
    </row>
    <row r="101" spans="1:9" ht="14.25" customHeight="1" x14ac:dyDescent="0.3">
      <c r="A101" s="40" t="s">
        <v>190</v>
      </c>
      <c r="B101" s="41" t="s">
        <v>53</v>
      </c>
      <c r="C101" s="42">
        <v>7230</v>
      </c>
      <c r="D101" s="42">
        <v>869</v>
      </c>
      <c r="E101" s="42">
        <v>859838</v>
      </c>
      <c r="F101" s="43">
        <f t="shared" si="4"/>
        <v>7.397905186791E-3</v>
      </c>
      <c r="G101" s="60">
        <v>7.0117859410726204</v>
      </c>
      <c r="H101" s="44">
        <v>56907</v>
      </c>
      <c r="I101" s="42">
        <f t="shared" si="5"/>
        <v>6361</v>
      </c>
    </row>
    <row r="102" spans="1:9" ht="14.25" customHeight="1" x14ac:dyDescent="0.3">
      <c r="A102" s="40" t="s">
        <v>190</v>
      </c>
      <c r="B102" s="41" t="s">
        <v>26</v>
      </c>
      <c r="C102" s="42">
        <v>4271</v>
      </c>
      <c r="D102" s="42">
        <v>628</v>
      </c>
      <c r="E102" s="42">
        <v>868909</v>
      </c>
      <c r="F102" s="43">
        <f t="shared" si="4"/>
        <v>4.1926139561219876E-3</v>
      </c>
      <c r="G102" s="60">
        <v>11.124410036033691</v>
      </c>
      <c r="H102" s="44">
        <v>47051</v>
      </c>
      <c r="I102" s="42">
        <f t="shared" si="5"/>
        <v>3643</v>
      </c>
    </row>
    <row r="103" spans="1:9" ht="14.25" customHeight="1" x14ac:dyDescent="0.3">
      <c r="A103" s="40" t="s">
        <v>544</v>
      </c>
      <c r="B103" s="41" t="s">
        <v>14</v>
      </c>
      <c r="C103" s="42">
        <v>4456</v>
      </c>
      <c r="D103" s="42">
        <v>651</v>
      </c>
      <c r="E103" s="42">
        <v>872714</v>
      </c>
      <c r="F103" s="43">
        <f t="shared" si="4"/>
        <v>4.3599621410908961E-3</v>
      </c>
      <c r="G103" s="60">
        <v>9.5052903929580594</v>
      </c>
      <c r="H103" s="44">
        <v>17736</v>
      </c>
      <c r="I103" s="42">
        <f t="shared" si="5"/>
        <v>3805</v>
      </c>
    </row>
    <row r="104" spans="1:9" ht="14.25" customHeight="1" x14ac:dyDescent="0.3">
      <c r="A104" s="40" t="s">
        <v>544</v>
      </c>
      <c r="B104" s="41" t="s">
        <v>53</v>
      </c>
      <c r="C104" s="42">
        <v>8788</v>
      </c>
      <c r="D104" s="42">
        <v>660</v>
      </c>
      <c r="E104" s="42">
        <v>880842</v>
      </c>
      <c r="F104" s="43">
        <f t="shared" si="4"/>
        <v>9.2275345635199051E-3</v>
      </c>
      <c r="G104" s="60">
        <v>3.7175793161543158</v>
      </c>
      <c r="H104" s="44">
        <v>17710</v>
      </c>
      <c r="I104" s="42">
        <f t="shared" si="5"/>
        <v>8128</v>
      </c>
    </row>
    <row r="105" spans="1:9" ht="14.25" customHeight="1" x14ac:dyDescent="0.3">
      <c r="A105" s="40" t="s">
        <v>448</v>
      </c>
      <c r="B105" s="41" t="s">
        <v>21</v>
      </c>
      <c r="C105" s="42">
        <v>3711</v>
      </c>
      <c r="D105" s="42">
        <v>291</v>
      </c>
      <c r="E105" s="42">
        <v>900862</v>
      </c>
      <c r="F105" s="43">
        <f t="shared" si="4"/>
        <v>3.7963639269943676E-3</v>
      </c>
      <c r="G105" s="60">
        <v>14.24879726306582</v>
      </c>
      <c r="H105" s="44">
        <v>55603</v>
      </c>
      <c r="I105" s="42">
        <f t="shared" si="5"/>
        <v>3420</v>
      </c>
    </row>
    <row r="106" spans="1:9" ht="14.25" customHeight="1" x14ac:dyDescent="0.3">
      <c r="A106" s="40" t="s">
        <v>448</v>
      </c>
      <c r="B106" s="41" t="s">
        <v>53</v>
      </c>
      <c r="C106" s="42">
        <v>1147</v>
      </c>
      <c r="D106" s="42">
        <v>127</v>
      </c>
      <c r="E106" s="42">
        <v>904407</v>
      </c>
      <c r="F106" s="43">
        <f t="shared" si="4"/>
        <v>1.1278108196862695E-3</v>
      </c>
      <c r="G106" s="60">
        <v>1.3997016829812241</v>
      </c>
      <c r="H106" s="44">
        <v>25261</v>
      </c>
      <c r="I106" s="42">
        <f>(C106-D106)</f>
        <v>1020</v>
      </c>
    </row>
    <row r="107" spans="1:9" ht="14.25" customHeight="1" x14ac:dyDescent="0.3">
      <c r="A107" s="40" t="s">
        <v>109</v>
      </c>
      <c r="B107" s="41" t="s">
        <v>53</v>
      </c>
      <c r="C107" s="42">
        <v>1365</v>
      </c>
      <c r="D107" s="42">
        <v>75</v>
      </c>
      <c r="E107" s="42">
        <v>912374</v>
      </c>
      <c r="F107" s="43">
        <f t="shared" si="4"/>
        <v>1.4138938637006315E-3</v>
      </c>
      <c r="G107" s="60">
        <v>9.2688963078737441</v>
      </c>
      <c r="H107" s="44">
        <v>19067</v>
      </c>
      <c r="I107" s="42">
        <f t="shared" ref="I107:I131" si="6">(C107-D107)</f>
        <v>1290</v>
      </c>
    </row>
    <row r="108" spans="1:9" ht="14.25" customHeight="1" x14ac:dyDescent="0.3">
      <c r="A108" s="40" t="s">
        <v>109</v>
      </c>
      <c r="B108" s="41" t="s">
        <v>21</v>
      </c>
      <c r="C108" s="42">
        <v>5531</v>
      </c>
      <c r="D108" s="42">
        <v>430</v>
      </c>
      <c r="E108" s="42">
        <v>917475</v>
      </c>
      <c r="F108" s="43">
        <f>(C108-D108)/E108</f>
        <v>5.5598245183792472E-3</v>
      </c>
      <c r="G108" s="60">
        <v>2.7289026948963189</v>
      </c>
      <c r="H108" s="44">
        <v>47481</v>
      </c>
      <c r="I108" s="42">
        <f t="shared" si="6"/>
        <v>5101</v>
      </c>
    </row>
    <row r="109" spans="1:9" ht="14.25" customHeight="1" x14ac:dyDescent="0.3">
      <c r="A109" s="40" t="s">
        <v>109</v>
      </c>
      <c r="B109" s="41" t="s">
        <v>26</v>
      </c>
      <c r="C109" s="42">
        <v>6330</v>
      </c>
      <c r="D109" s="42">
        <v>891</v>
      </c>
      <c r="E109" s="42">
        <v>922914</v>
      </c>
      <c r="F109" s="43">
        <f t="shared" ref="F109:F125" si="7">(C109-D109)/E109</f>
        <v>5.8932901657142486E-3</v>
      </c>
      <c r="G109" s="60">
        <v>14.789893749580139</v>
      </c>
      <c r="H109" s="44">
        <v>37037</v>
      </c>
      <c r="I109" s="42">
        <f t="shared" si="6"/>
        <v>5439</v>
      </c>
    </row>
    <row r="110" spans="1:9" ht="14.25" customHeight="1" x14ac:dyDescent="0.3">
      <c r="A110" s="40" t="s">
        <v>122</v>
      </c>
      <c r="B110" s="41" t="s">
        <v>26</v>
      </c>
      <c r="C110" s="42">
        <v>9754</v>
      </c>
      <c r="D110" s="42">
        <v>629</v>
      </c>
      <c r="E110" s="42">
        <v>938068</v>
      </c>
      <c r="F110" s="43">
        <f t="shared" si="7"/>
        <v>9.7274398018054129E-3</v>
      </c>
      <c r="G110" s="60">
        <v>3.4123325814333292</v>
      </c>
      <c r="H110" s="44">
        <v>19435</v>
      </c>
      <c r="I110" s="42">
        <f t="shared" si="6"/>
        <v>9125</v>
      </c>
    </row>
    <row r="111" spans="1:9" ht="14.25" customHeight="1" x14ac:dyDescent="0.3">
      <c r="A111" s="40" t="s">
        <v>122</v>
      </c>
      <c r="B111" s="41" t="s">
        <v>14</v>
      </c>
      <c r="C111" s="42">
        <v>9964</v>
      </c>
      <c r="D111" s="42">
        <v>985</v>
      </c>
      <c r="E111" s="42">
        <v>947047</v>
      </c>
      <c r="F111" s="43">
        <f t="shared" si="7"/>
        <v>9.4810500429228957E-3</v>
      </c>
      <c r="G111" s="60">
        <v>1.9837452629066989</v>
      </c>
      <c r="H111" s="44">
        <v>47766</v>
      </c>
      <c r="I111" s="42">
        <f t="shared" si="6"/>
        <v>8979</v>
      </c>
    </row>
    <row r="112" spans="1:9" ht="14.25" customHeight="1" x14ac:dyDescent="0.3">
      <c r="A112" s="40" t="s">
        <v>166</v>
      </c>
      <c r="B112" s="41" t="s">
        <v>14</v>
      </c>
      <c r="C112" s="42">
        <v>7511</v>
      </c>
      <c r="D112" s="42">
        <v>880</v>
      </c>
      <c r="E112" s="42">
        <v>966020</v>
      </c>
      <c r="F112" s="43">
        <f t="shared" si="7"/>
        <v>6.8642471170369144E-3</v>
      </c>
      <c r="G112" s="60">
        <v>4.6083932009689246</v>
      </c>
      <c r="H112" s="44">
        <v>29675</v>
      </c>
      <c r="I112" s="42">
        <f t="shared" si="6"/>
        <v>6631</v>
      </c>
    </row>
    <row r="113" spans="1:9" ht="14.25" customHeight="1" x14ac:dyDescent="0.3">
      <c r="A113" s="40" t="s">
        <v>166</v>
      </c>
      <c r="B113" s="41" t="s">
        <v>21</v>
      </c>
      <c r="C113" s="42">
        <v>8504</v>
      </c>
      <c r="D113" s="42">
        <v>1072</v>
      </c>
      <c r="E113" s="42">
        <v>973452</v>
      </c>
      <c r="F113" s="43">
        <f t="shared" si="7"/>
        <v>7.6346856342171983E-3</v>
      </c>
      <c r="G113" s="60">
        <v>6.5651927367759271</v>
      </c>
      <c r="H113" s="44">
        <v>18461</v>
      </c>
      <c r="I113" s="42">
        <f t="shared" si="6"/>
        <v>7432</v>
      </c>
    </row>
    <row r="114" spans="1:9" ht="14.25" customHeight="1" x14ac:dyDescent="0.3">
      <c r="A114" s="40" t="s">
        <v>166</v>
      </c>
      <c r="B114" s="41" t="s">
        <v>53</v>
      </c>
      <c r="C114" s="42">
        <v>2246</v>
      </c>
      <c r="D114" s="42">
        <v>165</v>
      </c>
      <c r="E114" s="42">
        <v>975533</v>
      </c>
      <c r="F114" s="43">
        <f t="shared" si="7"/>
        <v>2.1331928289458173E-3</v>
      </c>
      <c r="G114" s="60">
        <v>2.9062061457685191</v>
      </c>
      <c r="H114" s="44">
        <v>27015</v>
      </c>
      <c r="I114" s="42">
        <f t="shared" si="6"/>
        <v>2081</v>
      </c>
    </row>
    <row r="115" spans="1:9" ht="14.25" customHeight="1" x14ac:dyDescent="0.3">
      <c r="A115" s="40" t="s">
        <v>545</v>
      </c>
      <c r="B115" s="41" t="s">
        <v>53</v>
      </c>
      <c r="C115" s="42">
        <v>9551</v>
      </c>
      <c r="D115" s="42">
        <v>828</v>
      </c>
      <c r="E115" s="42">
        <v>988501</v>
      </c>
      <c r="F115" s="43">
        <f t="shared" si="7"/>
        <v>8.8244726105487E-3</v>
      </c>
      <c r="G115" s="60">
        <v>1.525036393488727</v>
      </c>
      <c r="H115" s="44">
        <v>38047</v>
      </c>
      <c r="I115" s="42">
        <f t="shared" si="6"/>
        <v>8723</v>
      </c>
    </row>
    <row r="116" spans="1:9" ht="14.25" customHeight="1" x14ac:dyDescent="0.3">
      <c r="A116" s="40" t="s">
        <v>545</v>
      </c>
      <c r="B116" s="41" t="s">
        <v>26</v>
      </c>
      <c r="C116" s="42">
        <v>3376</v>
      </c>
      <c r="D116" s="42">
        <v>382</v>
      </c>
      <c r="E116" s="42">
        <v>991495</v>
      </c>
      <c r="F116" s="43">
        <f t="shared" si="7"/>
        <v>3.0196823988018094E-3</v>
      </c>
      <c r="G116" s="60">
        <v>3.8694093263203548</v>
      </c>
      <c r="H116" s="44">
        <v>44782</v>
      </c>
      <c r="I116" s="42">
        <f t="shared" si="6"/>
        <v>2994</v>
      </c>
    </row>
    <row r="117" spans="1:9" ht="14.25" customHeight="1" x14ac:dyDescent="0.3">
      <c r="A117" s="40" t="s">
        <v>545</v>
      </c>
      <c r="B117" s="41" t="s">
        <v>14</v>
      </c>
      <c r="C117" s="42">
        <v>4009</v>
      </c>
      <c r="D117" s="42">
        <v>454</v>
      </c>
      <c r="E117" s="42">
        <v>995050</v>
      </c>
      <c r="F117" s="43">
        <f t="shared" si="7"/>
        <v>3.5726847897090599E-3</v>
      </c>
      <c r="G117" s="60">
        <v>2.1106477061454201</v>
      </c>
      <c r="H117" s="44">
        <v>19833</v>
      </c>
      <c r="I117" s="42">
        <f t="shared" si="6"/>
        <v>3555</v>
      </c>
    </row>
    <row r="118" spans="1:9" ht="14.25" customHeight="1" x14ac:dyDescent="0.3">
      <c r="A118" s="40" t="s">
        <v>545</v>
      </c>
      <c r="B118" s="41" t="s">
        <v>21</v>
      </c>
      <c r="C118" s="42">
        <v>2827</v>
      </c>
      <c r="D118" s="42">
        <v>292</v>
      </c>
      <c r="E118" s="42">
        <v>997585</v>
      </c>
      <c r="F118" s="43">
        <f t="shared" si="7"/>
        <v>2.5411368454818384E-3</v>
      </c>
      <c r="G118" s="60">
        <v>2.4004972007397871</v>
      </c>
      <c r="H118" s="44">
        <v>17896</v>
      </c>
      <c r="I118" s="42">
        <f t="shared" si="6"/>
        <v>2535</v>
      </c>
    </row>
    <row r="119" spans="1:9" ht="14.25" customHeight="1" x14ac:dyDescent="0.3">
      <c r="A119" s="40" t="s">
        <v>546</v>
      </c>
      <c r="B119" s="41" t="s">
        <v>21</v>
      </c>
      <c r="C119" s="42">
        <v>7979</v>
      </c>
      <c r="D119" s="42">
        <v>470</v>
      </c>
      <c r="E119" s="42">
        <v>1005094</v>
      </c>
      <c r="F119" s="43">
        <f t="shared" si="7"/>
        <v>7.4709430162750948E-3</v>
      </c>
      <c r="G119" s="60">
        <v>10.43086517280971</v>
      </c>
      <c r="H119" s="44">
        <v>42972</v>
      </c>
      <c r="I119" s="42">
        <f t="shared" si="6"/>
        <v>7509</v>
      </c>
    </row>
    <row r="120" spans="1:9" ht="14.25" customHeight="1" x14ac:dyDescent="0.3">
      <c r="A120" s="40" t="s">
        <v>546</v>
      </c>
      <c r="B120" s="41" t="s">
        <v>26</v>
      </c>
      <c r="C120" s="42">
        <v>9569</v>
      </c>
      <c r="D120" s="42">
        <v>1277</v>
      </c>
      <c r="E120" s="42">
        <v>1013386</v>
      </c>
      <c r="F120" s="43">
        <f t="shared" si="7"/>
        <v>8.1824694637581338E-3</v>
      </c>
      <c r="G120" s="60">
        <v>12.45517502708741</v>
      </c>
      <c r="H120" s="44">
        <v>59733</v>
      </c>
      <c r="I120" s="42">
        <f t="shared" si="6"/>
        <v>8292</v>
      </c>
    </row>
    <row r="121" spans="1:9" ht="14.25" customHeight="1" x14ac:dyDescent="0.3">
      <c r="A121" s="40" t="s">
        <v>349</v>
      </c>
      <c r="B121" s="41" t="s">
        <v>21</v>
      </c>
      <c r="C121" s="42">
        <v>9561</v>
      </c>
      <c r="D121" s="42">
        <v>517</v>
      </c>
      <c r="E121" s="42">
        <v>1034649</v>
      </c>
      <c r="F121" s="43">
        <f t="shared" si="7"/>
        <v>8.741128633961856E-3</v>
      </c>
      <c r="G121" s="60">
        <v>6.4086467971263694</v>
      </c>
      <c r="H121" s="44">
        <v>15347</v>
      </c>
      <c r="I121" s="42">
        <f t="shared" si="6"/>
        <v>9044</v>
      </c>
    </row>
    <row r="122" spans="1:9" ht="14.25" customHeight="1" x14ac:dyDescent="0.3">
      <c r="A122" s="40" t="s">
        <v>349</v>
      </c>
      <c r="B122" s="41" t="s">
        <v>14</v>
      </c>
      <c r="C122" s="42">
        <v>4747</v>
      </c>
      <c r="D122" s="42">
        <v>558</v>
      </c>
      <c r="E122" s="42">
        <v>1041686</v>
      </c>
      <c r="F122" s="43">
        <f t="shared" si="7"/>
        <v>4.021365363458854E-3</v>
      </c>
      <c r="G122" s="60">
        <v>5.7680529449373434</v>
      </c>
      <c r="H122" s="44">
        <v>12643</v>
      </c>
      <c r="I122" s="42">
        <f t="shared" si="6"/>
        <v>4189</v>
      </c>
    </row>
    <row r="123" spans="1:9" ht="14.25" customHeight="1" x14ac:dyDescent="0.3">
      <c r="A123" s="40" t="s">
        <v>547</v>
      </c>
      <c r="B123" s="41" t="s">
        <v>53</v>
      </c>
      <c r="C123" s="42">
        <v>6978</v>
      </c>
      <c r="D123" s="42">
        <v>706</v>
      </c>
      <c r="E123" s="42">
        <v>1057293</v>
      </c>
      <c r="F123" s="43">
        <f t="shared" si="7"/>
        <v>5.9321304501212058E-3</v>
      </c>
      <c r="G123" s="60">
        <v>5.057443868445171</v>
      </c>
      <c r="H123" s="44">
        <v>28681</v>
      </c>
      <c r="I123" s="42">
        <f t="shared" si="6"/>
        <v>6272</v>
      </c>
    </row>
    <row r="124" spans="1:9" ht="14.25" customHeight="1" x14ac:dyDescent="0.3">
      <c r="A124" s="40" t="s">
        <v>547</v>
      </c>
      <c r="B124" s="41" t="s">
        <v>26</v>
      </c>
      <c r="C124" s="42">
        <v>6607</v>
      </c>
      <c r="D124" s="42">
        <v>479</v>
      </c>
      <c r="E124" s="42">
        <v>1063421</v>
      </c>
      <c r="F124" s="43">
        <f t="shared" si="7"/>
        <v>5.7625343114345116E-3</v>
      </c>
      <c r="G124" s="60">
        <v>5.5892257158735816</v>
      </c>
      <c r="H124" s="44">
        <v>48328</v>
      </c>
      <c r="I124" s="42">
        <f t="shared" si="6"/>
        <v>6128</v>
      </c>
    </row>
    <row r="125" spans="1:9" ht="14.25" customHeight="1" x14ac:dyDescent="0.3">
      <c r="A125" s="40" t="s">
        <v>547</v>
      </c>
      <c r="B125" s="41" t="s">
        <v>14</v>
      </c>
      <c r="C125" s="42">
        <v>1769</v>
      </c>
      <c r="D125" s="42">
        <v>202</v>
      </c>
      <c r="E125" s="42">
        <v>1064988</v>
      </c>
      <c r="F125" s="43">
        <f t="shared" si="7"/>
        <v>1.4713780812553757E-3</v>
      </c>
      <c r="G125" s="60">
        <v>6.5457075572682513</v>
      </c>
      <c r="H125" s="44">
        <v>25892</v>
      </c>
      <c r="I125" s="42">
        <f t="shared" si="6"/>
        <v>1567</v>
      </c>
    </row>
    <row r="126" spans="1:9" ht="14.25" customHeight="1" x14ac:dyDescent="0.3">
      <c r="A126" s="40" t="s">
        <v>547</v>
      </c>
      <c r="B126" s="41" t="s">
        <v>21</v>
      </c>
      <c r="C126" s="42">
        <v>1780</v>
      </c>
      <c r="D126" s="42">
        <v>120</v>
      </c>
      <c r="E126" s="42">
        <v>1066648</v>
      </c>
      <c r="F126" s="43">
        <f>(C126-D126)/E126</f>
        <v>1.55627723485161E-3</v>
      </c>
      <c r="G126" s="60">
        <v>13.86474263299608</v>
      </c>
      <c r="H126" s="44">
        <v>57299</v>
      </c>
      <c r="I126" s="42">
        <f t="shared" si="6"/>
        <v>1660</v>
      </c>
    </row>
    <row r="127" spans="1:9" ht="14.25" customHeight="1" x14ac:dyDescent="0.3">
      <c r="A127" s="40" t="s">
        <v>364</v>
      </c>
      <c r="B127" s="41" t="s">
        <v>14</v>
      </c>
      <c r="C127" s="42">
        <v>7303</v>
      </c>
      <c r="D127" s="42">
        <v>869</v>
      </c>
      <c r="E127" s="42">
        <v>1073082</v>
      </c>
      <c r="F127" s="43">
        <f t="shared" ref="F127:F141" si="8">(C127-D127)/E127</f>
        <v>5.9958139266151145E-3</v>
      </c>
      <c r="G127" s="60">
        <v>8.1237966902808925</v>
      </c>
      <c r="H127" s="44">
        <v>27073</v>
      </c>
      <c r="I127" s="42">
        <f t="shared" si="6"/>
        <v>6434</v>
      </c>
    </row>
    <row r="128" spans="1:9" ht="14.25" customHeight="1" x14ac:dyDescent="0.3">
      <c r="A128" s="40" t="s">
        <v>364</v>
      </c>
      <c r="B128" s="41" t="s">
        <v>21</v>
      </c>
      <c r="C128" s="42">
        <v>4983</v>
      </c>
      <c r="D128" s="42">
        <v>441</v>
      </c>
      <c r="E128" s="42">
        <v>1077624</v>
      </c>
      <c r="F128" s="43">
        <f t="shared" si="8"/>
        <v>4.2148281775461569E-3</v>
      </c>
      <c r="G128" s="60">
        <v>6.8954477628560609</v>
      </c>
      <c r="H128" s="44">
        <v>46768</v>
      </c>
      <c r="I128" s="42">
        <f t="shared" si="6"/>
        <v>4542</v>
      </c>
    </row>
    <row r="129" spans="1:9" ht="14.25" customHeight="1" x14ac:dyDescent="0.3">
      <c r="A129" s="40" t="s">
        <v>364</v>
      </c>
      <c r="B129" s="41" t="s">
        <v>53</v>
      </c>
      <c r="C129" s="42">
        <v>9714</v>
      </c>
      <c r="D129" s="42">
        <v>1395</v>
      </c>
      <c r="E129" s="42">
        <v>1085943</v>
      </c>
      <c r="F129" s="43">
        <f t="shared" si="8"/>
        <v>7.6606230713766746E-3</v>
      </c>
      <c r="G129" s="60">
        <v>5.2243073531483697</v>
      </c>
      <c r="H129" s="44">
        <v>40682</v>
      </c>
      <c r="I129" s="42">
        <f>(C129-D129)</f>
        <v>8319</v>
      </c>
    </row>
    <row r="130" spans="1:9" ht="14.25" customHeight="1" x14ac:dyDescent="0.3">
      <c r="A130" s="40" t="s">
        <v>364</v>
      </c>
      <c r="B130" s="41" t="s">
        <v>26</v>
      </c>
      <c r="C130" s="42">
        <v>1521</v>
      </c>
      <c r="D130" s="42">
        <v>96</v>
      </c>
      <c r="E130" s="42">
        <v>1087368</v>
      </c>
      <c r="F130" s="43">
        <f t="shared" si="8"/>
        <v>1.3105038956452645E-3</v>
      </c>
      <c r="G130" s="60">
        <v>12.709772588488899</v>
      </c>
      <c r="H130" s="44">
        <v>42262</v>
      </c>
      <c r="I130" s="42">
        <f t="shared" si="6"/>
        <v>1425</v>
      </c>
    </row>
    <row r="131" spans="1:9" ht="14.25" customHeight="1" x14ac:dyDescent="0.3">
      <c r="A131" s="40" t="s">
        <v>548</v>
      </c>
      <c r="B131" s="41" t="s">
        <v>21</v>
      </c>
      <c r="C131" s="42">
        <v>8569</v>
      </c>
      <c r="D131" s="42">
        <v>720</v>
      </c>
      <c r="E131" s="42">
        <v>1095217</v>
      </c>
      <c r="F131" s="43">
        <f t="shared" si="8"/>
        <v>7.1666162961312686E-3</v>
      </c>
      <c r="G131" s="60">
        <v>9.589697749395782</v>
      </c>
      <c r="H131" s="44">
        <v>41358</v>
      </c>
      <c r="I131" s="42">
        <f t="shared" si="6"/>
        <v>7849</v>
      </c>
    </row>
    <row r="132" spans="1:9" ht="14.25" customHeight="1" x14ac:dyDescent="0.3">
      <c r="A132" s="40" t="s">
        <v>549</v>
      </c>
      <c r="B132" s="41" t="s">
        <v>26</v>
      </c>
      <c r="C132" s="42">
        <v>5941</v>
      </c>
      <c r="D132" s="42">
        <v>450</v>
      </c>
      <c r="E132" s="42">
        <v>1117854</v>
      </c>
      <c r="F132" s="43">
        <f t="shared" si="8"/>
        <v>4.9120904876665469E-3</v>
      </c>
      <c r="G132" s="60">
        <v>12.414411899944</v>
      </c>
      <c r="H132" s="44">
        <v>58330</v>
      </c>
      <c r="I132" s="42">
        <f>(C132-D132)</f>
        <v>5491</v>
      </c>
    </row>
    <row r="133" spans="1:9" ht="14.25" customHeight="1" x14ac:dyDescent="0.3">
      <c r="A133" s="40" t="s">
        <v>549</v>
      </c>
      <c r="B133" s="41" t="s">
        <v>53</v>
      </c>
      <c r="C133" s="42">
        <v>8128</v>
      </c>
      <c r="D133" s="42">
        <v>1070</v>
      </c>
      <c r="E133" s="42">
        <v>1131337</v>
      </c>
      <c r="F133" s="43">
        <f t="shared" si="8"/>
        <v>6.2386362330587612E-3</v>
      </c>
      <c r="G133" s="60">
        <v>8.1114645768679008</v>
      </c>
      <c r="H133" s="44">
        <v>21918</v>
      </c>
      <c r="I133" s="42">
        <f t="shared" ref="I133:I141" si="9">(C133-D133)</f>
        <v>7058</v>
      </c>
    </row>
    <row r="134" spans="1:9" ht="14.25" customHeight="1" x14ac:dyDescent="0.3">
      <c r="A134" s="40" t="s">
        <v>322</v>
      </c>
      <c r="B134" s="41" t="s">
        <v>21</v>
      </c>
      <c r="C134" s="42">
        <v>1685</v>
      </c>
      <c r="D134" s="42">
        <v>173</v>
      </c>
      <c r="E134" s="42">
        <v>1135945</v>
      </c>
      <c r="F134" s="43">
        <f t="shared" si="8"/>
        <v>1.331050358952238E-3</v>
      </c>
      <c r="G134" s="60">
        <v>8.7776256772995165</v>
      </c>
      <c r="H134" s="44">
        <v>49110</v>
      </c>
      <c r="I134" s="42">
        <f t="shared" si="9"/>
        <v>1512</v>
      </c>
    </row>
    <row r="135" spans="1:9" ht="14.25" customHeight="1" x14ac:dyDescent="0.3">
      <c r="A135" s="40" t="s">
        <v>322</v>
      </c>
      <c r="B135" s="41" t="s">
        <v>53</v>
      </c>
      <c r="C135" s="42">
        <v>3160</v>
      </c>
      <c r="D135" s="42">
        <v>234</v>
      </c>
      <c r="E135" s="42">
        <v>1138871</v>
      </c>
      <c r="F135" s="43">
        <f t="shared" si="8"/>
        <v>2.5692110871204906E-3</v>
      </c>
      <c r="G135" s="60">
        <v>5.6959041015180816</v>
      </c>
      <c r="H135" s="44">
        <v>21929</v>
      </c>
      <c r="I135" s="42">
        <f t="shared" si="9"/>
        <v>2926</v>
      </c>
    </row>
    <row r="136" spans="1:9" ht="14.25" customHeight="1" x14ac:dyDescent="0.3">
      <c r="A136" s="40" t="s">
        <v>69</v>
      </c>
      <c r="B136" s="41" t="s">
        <v>21</v>
      </c>
      <c r="C136" s="42">
        <v>1038</v>
      </c>
      <c r="D136" s="42">
        <v>145</v>
      </c>
      <c r="E136" s="42">
        <v>1152775</v>
      </c>
      <c r="F136" s="43">
        <f t="shared" si="8"/>
        <v>7.7465246904209403E-4</v>
      </c>
      <c r="G136" s="60">
        <v>11.093752033137431</v>
      </c>
      <c r="H136" s="44">
        <v>55951</v>
      </c>
      <c r="I136" s="42">
        <f t="shared" si="9"/>
        <v>893</v>
      </c>
    </row>
    <row r="137" spans="1:9" ht="14.25" customHeight="1" x14ac:dyDescent="0.3">
      <c r="A137" s="40" t="s">
        <v>69</v>
      </c>
      <c r="B137" s="41" t="s">
        <v>14</v>
      </c>
      <c r="C137" s="42">
        <v>5875</v>
      </c>
      <c r="D137" s="42">
        <v>665</v>
      </c>
      <c r="E137" s="42">
        <v>1157985</v>
      </c>
      <c r="F137" s="43">
        <f t="shared" si="8"/>
        <v>4.4991947218659999E-3</v>
      </c>
      <c r="G137" s="60">
        <v>6.9871371390821126</v>
      </c>
      <c r="H137" s="44">
        <v>32669</v>
      </c>
      <c r="I137" s="42">
        <f t="shared" si="9"/>
        <v>5210</v>
      </c>
    </row>
    <row r="138" spans="1:9" ht="14.25" customHeight="1" x14ac:dyDescent="0.3">
      <c r="A138" s="40" t="s">
        <v>69</v>
      </c>
      <c r="B138" s="41" t="s">
        <v>26</v>
      </c>
      <c r="C138" s="42">
        <v>8697</v>
      </c>
      <c r="D138" s="42">
        <v>738</v>
      </c>
      <c r="E138" s="42">
        <v>1168011</v>
      </c>
      <c r="F138" s="43">
        <f t="shared" si="8"/>
        <v>6.8141481544266276E-3</v>
      </c>
      <c r="G138" s="60">
        <v>3.8777032065622672</v>
      </c>
      <c r="H138" s="44">
        <v>30644</v>
      </c>
      <c r="I138" s="42">
        <f t="shared" si="9"/>
        <v>7959</v>
      </c>
    </row>
    <row r="139" spans="1:9" ht="14.25" customHeight="1" x14ac:dyDescent="0.3">
      <c r="A139" s="40" t="s">
        <v>27</v>
      </c>
      <c r="B139" s="41" t="s">
        <v>26</v>
      </c>
      <c r="C139" s="42">
        <v>3196</v>
      </c>
      <c r="D139" s="42">
        <v>391</v>
      </c>
      <c r="E139" s="42">
        <v>1170816</v>
      </c>
      <c r="F139" s="43">
        <f t="shared" si="8"/>
        <v>2.3957650049196456E-3</v>
      </c>
      <c r="G139" s="60">
        <v>7.2439221876024931</v>
      </c>
      <c r="H139" s="44">
        <v>28745</v>
      </c>
      <c r="I139" s="42">
        <f t="shared" si="9"/>
        <v>2805</v>
      </c>
    </row>
    <row r="140" spans="1:9" ht="14.25" customHeight="1" x14ac:dyDescent="0.3">
      <c r="A140" s="40" t="s">
        <v>27</v>
      </c>
      <c r="B140" s="41" t="s">
        <v>21</v>
      </c>
      <c r="C140" s="42">
        <v>8165</v>
      </c>
      <c r="D140" s="42">
        <v>1140</v>
      </c>
      <c r="E140" s="42">
        <v>1177841</v>
      </c>
      <c r="F140" s="43">
        <f t="shared" si="8"/>
        <v>5.9643024822535473E-3</v>
      </c>
      <c r="G140" s="60">
        <v>9.095964565675672</v>
      </c>
      <c r="H140" s="44">
        <v>38228</v>
      </c>
      <c r="I140" s="42">
        <f t="shared" si="9"/>
        <v>7025</v>
      </c>
    </row>
    <row r="141" spans="1:9" ht="14.25" customHeight="1" x14ac:dyDescent="0.3">
      <c r="A141" s="40" t="s">
        <v>27</v>
      </c>
      <c r="B141" s="41" t="s">
        <v>53</v>
      </c>
      <c r="C141" s="42">
        <v>8527</v>
      </c>
      <c r="D141" s="42">
        <v>1091</v>
      </c>
      <c r="E141" s="42">
        <v>1186398</v>
      </c>
      <c r="F141" s="43">
        <f t="shared" si="8"/>
        <v>6.267711172810473E-3</v>
      </c>
      <c r="G141" s="60">
        <v>1.676081719625286</v>
      </c>
      <c r="H141" s="44">
        <v>41703</v>
      </c>
      <c r="I141" s="42">
        <f t="shared" si="9"/>
        <v>7436</v>
      </c>
    </row>
    <row r="142" spans="1:9" ht="14.25" customHeight="1" x14ac:dyDescent="0.3">
      <c r="A142" s="45"/>
      <c r="I142" s="60"/>
    </row>
    <row r="143" spans="1:9" ht="14.25" customHeight="1" x14ac:dyDescent="0.3">
      <c r="I143" s="60"/>
    </row>
    <row r="144" spans="1:9" ht="14.25" customHeight="1" x14ac:dyDescent="0.3">
      <c r="I144" s="60"/>
    </row>
    <row r="145" spans="9:9" ht="14.25" customHeight="1" x14ac:dyDescent="0.3">
      <c r="I145" s="60"/>
    </row>
    <row r="146" spans="9:9" ht="14.25" customHeight="1" x14ac:dyDescent="0.3">
      <c r="I146" s="60"/>
    </row>
    <row r="147" spans="9:9" ht="14.25" customHeight="1" x14ac:dyDescent="0.3">
      <c r="I147" s="60"/>
    </row>
    <row r="148" spans="9:9" ht="14.25" customHeight="1" x14ac:dyDescent="0.3">
      <c r="I148" s="60"/>
    </row>
    <row r="149" spans="9:9" ht="14.25" customHeight="1" x14ac:dyDescent="0.3">
      <c r="I149" s="60"/>
    </row>
    <row r="150" spans="9:9" ht="14.25" customHeight="1" x14ac:dyDescent="0.3">
      <c r="I150" s="60"/>
    </row>
    <row r="151" spans="9:9" ht="14.25" customHeight="1" x14ac:dyDescent="0.3">
      <c r="I151" s="60"/>
    </row>
    <row r="152" spans="9:9" ht="14.25" customHeight="1" x14ac:dyDescent="0.3">
      <c r="I152" s="60"/>
    </row>
    <row r="153" spans="9:9" ht="14.25" customHeight="1" x14ac:dyDescent="0.3">
      <c r="I153" s="60"/>
    </row>
    <row r="154" spans="9:9" ht="14.25" customHeight="1" x14ac:dyDescent="0.3">
      <c r="I154" s="60"/>
    </row>
    <row r="155" spans="9:9" ht="14.25" customHeight="1" x14ac:dyDescent="0.3">
      <c r="I155" s="60"/>
    </row>
    <row r="156" spans="9:9" ht="14.25" customHeight="1" x14ac:dyDescent="0.3">
      <c r="I156" s="60"/>
    </row>
    <row r="157" spans="9:9" ht="14.25" customHeight="1" x14ac:dyDescent="0.3">
      <c r="I157" s="60"/>
    </row>
    <row r="158" spans="9:9" ht="14.25" customHeight="1" x14ac:dyDescent="0.3">
      <c r="I158" s="60"/>
    </row>
    <row r="159" spans="9:9" ht="14.25" customHeight="1" x14ac:dyDescent="0.3">
      <c r="I159" s="60"/>
    </row>
    <row r="160" spans="9:9" ht="14.25" customHeight="1" x14ac:dyDescent="0.3">
      <c r="I160" s="60"/>
    </row>
    <row r="161" spans="9:9" ht="14.25" customHeight="1" x14ac:dyDescent="0.3">
      <c r="I161" s="60"/>
    </row>
    <row r="162" spans="9:9" ht="14.25" customHeight="1" x14ac:dyDescent="0.3">
      <c r="I162" s="60"/>
    </row>
    <row r="163" spans="9:9" ht="14.25" customHeight="1" x14ac:dyDescent="0.3">
      <c r="I163" s="60"/>
    </row>
    <row r="164" spans="9:9" ht="14.25" customHeight="1" x14ac:dyDescent="0.3">
      <c r="I164" s="60"/>
    </row>
    <row r="165" spans="9:9" ht="14.25" customHeight="1" x14ac:dyDescent="0.3">
      <c r="I165" s="60"/>
    </row>
    <row r="166" spans="9:9" ht="14.25" customHeight="1" x14ac:dyDescent="0.3">
      <c r="I166" s="60"/>
    </row>
    <row r="167" spans="9:9" ht="14.25" customHeight="1" x14ac:dyDescent="0.3">
      <c r="I167" s="60"/>
    </row>
    <row r="168" spans="9:9" ht="14.25" customHeight="1" x14ac:dyDescent="0.3">
      <c r="I168" s="60"/>
    </row>
    <row r="169" spans="9:9" ht="14.25" customHeight="1" x14ac:dyDescent="0.3">
      <c r="I169" s="60"/>
    </row>
    <row r="170" spans="9:9" ht="14.25" customHeight="1" x14ac:dyDescent="0.3">
      <c r="I170" s="60"/>
    </row>
    <row r="171" spans="9:9" ht="14.25" customHeight="1" x14ac:dyDescent="0.3">
      <c r="I171" s="60"/>
    </row>
    <row r="172" spans="9:9" ht="14.25" customHeight="1" x14ac:dyDescent="0.3">
      <c r="I172" s="60"/>
    </row>
    <row r="173" spans="9:9" ht="14.25" customHeight="1" x14ac:dyDescent="0.3">
      <c r="I173" s="60"/>
    </row>
    <row r="174" spans="9:9" ht="14.25" customHeight="1" x14ac:dyDescent="0.3">
      <c r="I174" s="60"/>
    </row>
    <row r="175" spans="9:9" ht="14.25" customHeight="1" x14ac:dyDescent="0.3">
      <c r="I175" s="60"/>
    </row>
    <row r="176" spans="9:9" ht="14.25" customHeight="1" x14ac:dyDescent="0.3">
      <c r="I176" s="60"/>
    </row>
    <row r="177" spans="9:9" ht="14.25" customHeight="1" x14ac:dyDescent="0.3">
      <c r="I177" s="60"/>
    </row>
    <row r="178" spans="9:9" ht="14.25" customHeight="1" x14ac:dyDescent="0.3">
      <c r="I178" s="60"/>
    </row>
    <row r="179" spans="9:9" ht="14.25" customHeight="1" x14ac:dyDescent="0.3">
      <c r="I179" s="60"/>
    </row>
    <row r="180" spans="9:9" ht="14.25" customHeight="1" x14ac:dyDescent="0.3">
      <c r="I180" s="60"/>
    </row>
    <row r="181" spans="9:9" ht="14.25" customHeight="1" x14ac:dyDescent="0.3">
      <c r="I181" s="60"/>
    </row>
    <row r="182" spans="9:9" ht="14.25" customHeight="1" x14ac:dyDescent="0.3">
      <c r="I182" s="60"/>
    </row>
    <row r="183" spans="9:9" ht="14.25" customHeight="1" x14ac:dyDescent="0.3">
      <c r="I183" s="60"/>
    </row>
    <row r="184" spans="9:9" ht="14.25" customHeight="1" x14ac:dyDescent="0.3">
      <c r="I184" s="60"/>
    </row>
    <row r="185" spans="9:9" ht="14.25" customHeight="1" x14ac:dyDescent="0.3">
      <c r="I185" s="60"/>
    </row>
    <row r="186" spans="9:9" ht="14.25" customHeight="1" x14ac:dyDescent="0.3">
      <c r="I186" s="60"/>
    </row>
    <row r="187" spans="9:9" ht="14.25" customHeight="1" x14ac:dyDescent="0.3">
      <c r="I187" s="60"/>
    </row>
    <row r="188" spans="9:9" ht="14.25" customHeight="1" x14ac:dyDescent="0.3">
      <c r="I188" s="60"/>
    </row>
    <row r="189" spans="9:9" ht="14.25" customHeight="1" x14ac:dyDescent="0.3">
      <c r="I189" s="60"/>
    </row>
    <row r="190" spans="9:9" ht="14.25" customHeight="1" x14ac:dyDescent="0.3">
      <c r="I190" s="60"/>
    </row>
    <row r="191" spans="9:9" ht="14.25" customHeight="1" x14ac:dyDescent="0.3">
      <c r="I191" s="60"/>
    </row>
    <row r="192" spans="9:9" ht="14.25" customHeight="1" x14ac:dyDescent="0.3">
      <c r="I192" s="60"/>
    </row>
    <row r="193" spans="9:9" ht="14.25" customHeight="1" x14ac:dyDescent="0.3">
      <c r="I193" s="60"/>
    </row>
    <row r="194" spans="9:9" ht="14.25" customHeight="1" x14ac:dyDescent="0.3">
      <c r="I194" s="60"/>
    </row>
    <row r="195" spans="9:9" ht="14.25" customHeight="1" x14ac:dyDescent="0.3">
      <c r="I195" s="60"/>
    </row>
    <row r="196" spans="9:9" ht="14.25" customHeight="1" x14ac:dyDescent="0.3">
      <c r="I196" s="60"/>
    </row>
    <row r="197" spans="9:9" ht="14.25" customHeight="1" x14ac:dyDescent="0.3">
      <c r="I197" s="60"/>
    </row>
    <row r="198" spans="9:9" ht="14.25" customHeight="1" x14ac:dyDescent="0.3">
      <c r="I198" s="60"/>
    </row>
    <row r="199" spans="9:9" ht="14.25" customHeight="1" x14ac:dyDescent="0.3">
      <c r="I199" s="60"/>
    </row>
    <row r="200" spans="9:9" ht="14.25" customHeight="1" x14ac:dyDescent="0.3">
      <c r="I200" s="60"/>
    </row>
    <row r="201" spans="9:9" ht="14.25" customHeight="1" x14ac:dyDescent="0.3">
      <c r="I201" s="60"/>
    </row>
    <row r="202" spans="9:9" ht="14.25" customHeight="1" x14ac:dyDescent="0.3"/>
    <row r="203" spans="9:9" ht="14.25" customHeight="1" x14ac:dyDescent="0.3"/>
    <row r="204" spans="9:9" ht="14.25" customHeight="1" x14ac:dyDescent="0.3"/>
    <row r="205" spans="9:9" ht="14.25" customHeight="1" x14ac:dyDescent="0.3"/>
    <row r="206" spans="9:9" ht="14.25" customHeight="1" x14ac:dyDescent="0.3"/>
    <row r="207" spans="9:9" ht="14.25" customHeight="1" x14ac:dyDescent="0.3"/>
    <row r="208" spans="9:9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41" xr:uid="{5E73054D-6357-4F22-A1BB-828F5EE88A74}"/>
  <mergeCells count="1">
    <mergeCell ref="K5:K11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C7DB-DC10-4E01-AA62-2CF57F8E2591}">
  <dimension ref="A1:F53"/>
  <sheetViews>
    <sheetView topLeftCell="E6" zoomScale="130" workbookViewId="0">
      <selection activeCell="O43" sqref="O43"/>
    </sheetView>
  </sheetViews>
  <sheetFormatPr defaultRowHeight="14.4" x14ac:dyDescent="0.3"/>
  <cols>
    <col min="1" max="1" width="24.6640625" bestFit="1" customWidth="1"/>
    <col min="2" max="2" width="15.5546875" bestFit="1" customWidth="1"/>
    <col min="3" max="3" width="8.21875" bestFit="1" customWidth="1"/>
    <col min="4" max="4" width="7.44140625" bestFit="1" customWidth="1"/>
    <col min="5" max="5" width="8.44140625" bestFit="1" customWidth="1"/>
    <col min="6" max="7" width="10.77734375" bestFit="1" customWidth="1"/>
  </cols>
  <sheetData>
    <row r="1" spans="1:6" x14ac:dyDescent="0.3">
      <c r="A1" s="24" t="s">
        <v>588</v>
      </c>
      <c r="B1" s="24" t="s">
        <v>517</v>
      </c>
    </row>
    <row r="2" spans="1:6" x14ac:dyDescent="0.3">
      <c r="A2" s="24" t="s">
        <v>514</v>
      </c>
      <c r="B2" t="s">
        <v>26</v>
      </c>
      <c r="C2" t="s">
        <v>21</v>
      </c>
      <c r="D2" t="s">
        <v>53</v>
      </c>
      <c r="E2" t="s">
        <v>14</v>
      </c>
      <c r="F2" t="s">
        <v>516</v>
      </c>
    </row>
    <row r="3" spans="1:6" x14ac:dyDescent="0.3">
      <c r="A3" s="25" t="s">
        <v>197</v>
      </c>
      <c r="B3">
        <v>3777</v>
      </c>
      <c r="D3">
        <v>7432</v>
      </c>
      <c r="E3">
        <v>8123</v>
      </c>
      <c r="F3">
        <v>19332</v>
      </c>
    </row>
    <row r="4" spans="1:6" x14ac:dyDescent="0.3">
      <c r="A4" s="25" t="s">
        <v>210</v>
      </c>
      <c r="B4">
        <v>7215</v>
      </c>
      <c r="D4">
        <v>4934</v>
      </c>
      <c r="E4">
        <v>7478</v>
      </c>
      <c r="F4">
        <v>19627</v>
      </c>
    </row>
    <row r="5" spans="1:6" x14ac:dyDescent="0.3">
      <c r="A5" s="25" t="s">
        <v>134</v>
      </c>
      <c r="B5">
        <v>7452</v>
      </c>
      <c r="C5">
        <v>6728</v>
      </c>
      <c r="D5">
        <v>6073</v>
      </c>
      <c r="F5">
        <v>20253</v>
      </c>
    </row>
    <row r="6" spans="1:6" x14ac:dyDescent="0.3">
      <c r="A6" s="25" t="s">
        <v>42</v>
      </c>
      <c r="B6">
        <v>4885</v>
      </c>
      <c r="D6">
        <v>8654</v>
      </c>
      <c r="E6">
        <v>8653</v>
      </c>
      <c r="F6">
        <v>22192</v>
      </c>
    </row>
    <row r="7" spans="1:6" x14ac:dyDescent="0.3">
      <c r="A7" s="25" t="s">
        <v>404</v>
      </c>
      <c r="B7">
        <v>3202</v>
      </c>
      <c r="C7">
        <v>5442</v>
      </c>
      <c r="D7">
        <v>8463</v>
      </c>
      <c r="F7">
        <v>17107</v>
      </c>
    </row>
    <row r="8" spans="1:6" x14ac:dyDescent="0.3">
      <c r="A8" s="25" t="s">
        <v>532</v>
      </c>
      <c r="C8">
        <v>1918</v>
      </c>
      <c r="D8">
        <v>7151</v>
      </c>
      <c r="F8">
        <v>9069</v>
      </c>
    </row>
    <row r="9" spans="1:6" x14ac:dyDescent="0.3">
      <c r="A9" s="25" t="s">
        <v>275</v>
      </c>
      <c r="B9">
        <v>3586</v>
      </c>
      <c r="D9">
        <v>7092</v>
      </c>
      <c r="E9">
        <v>1826</v>
      </c>
      <c r="F9">
        <v>12504</v>
      </c>
    </row>
    <row r="10" spans="1:6" x14ac:dyDescent="0.3">
      <c r="A10" s="25" t="s">
        <v>533</v>
      </c>
      <c r="C10">
        <v>7429</v>
      </c>
      <c r="D10">
        <v>7733</v>
      </c>
      <c r="E10">
        <v>9082</v>
      </c>
      <c r="F10">
        <v>24244</v>
      </c>
    </row>
    <row r="11" spans="1:6" x14ac:dyDescent="0.3">
      <c r="A11" s="25" t="s">
        <v>230</v>
      </c>
      <c r="C11">
        <v>1741</v>
      </c>
      <c r="D11">
        <v>6039</v>
      </c>
      <c r="E11">
        <v>3445</v>
      </c>
      <c r="F11">
        <v>11225</v>
      </c>
    </row>
    <row r="12" spans="1:6" x14ac:dyDescent="0.3">
      <c r="A12" s="25" t="s">
        <v>446</v>
      </c>
      <c r="B12">
        <v>3213</v>
      </c>
      <c r="C12">
        <v>4847</v>
      </c>
      <c r="D12">
        <v>3497</v>
      </c>
      <c r="E12">
        <v>2543</v>
      </c>
      <c r="F12">
        <v>14100</v>
      </c>
    </row>
    <row r="13" spans="1:6" x14ac:dyDescent="0.3">
      <c r="A13" s="25" t="s">
        <v>33</v>
      </c>
      <c r="B13">
        <v>6853</v>
      </c>
      <c r="D13">
        <v>5795</v>
      </c>
      <c r="E13">
        <v>7033</v>
      </c>
      <c r="F13">
        <v>19681</v>
      </c>
    </row>
    <row r="14" spans="1:6" x14ac:dyDescent="0.3">
      <c r="A14" s="25" t="s">
        <v>72</v>
      </c>
      <c r="B14">
        <v>6920</v>
      </c>
      <c r="E14">
        <v>5071</v>
      </c>
      <c r="F14">
        <v>11991</v>
      </c>
    </row>
    <row r="15" spans="1:6" x14ac:dyDescent="0.3">
      <c r="A15" s="25" t="s">
        <v>67</v>
      </c>
      <c r="B15">
        <v>8231</v>
      </c>
      <c r="C15">
        <v>1513</v>
      </c>
      <c r="D15">
        <v>5753</v>
      </c>
      <c r="E15">
        <v>5303</v>
      </c>
      <c r="F15">
        <v>20800</v>
      </c>
    </row>
    <row r="16" spans="1:6" x14ac:dyDescent="0.3">
      <c r="A16" s="25" t="s">
        <v>164</v>
      </c>
      <c r="B16">
        <v>5520</v>
      </c>
      <c r="C16">
        <v>8228</v>
      </c>
      <c r="D16">
        <v>6593</v>
      </c>
      <c r="F16">
        <v>20341</v>
      </c>
    </row>
    <row r="17" spans="1:6" x14ac:dyDescent="0.3">
      <c r="A17" s="25" t="s">
        <v>76</v>
      </c>
      <c r="B17">
        <v>7442</v>
      </c>
      <c r="C17">
        <v>6121</v>
      </c>
      <c r="E17">
        <v>9118</v>
      </c>
      <c r="F17">
        <v>22681</v>
      </c>
    </row>
    <row r="18" spans="1:6" x14ac:dyDescent="0.3">
      <c r="A18" s="25" t="s">
        <v>534</v>
      </c>
      <c r="C18">
        <v>2199</v>
      </c>
      <c r="D18">
        <v>3925</v>
      </c>
      <c r="E18">
        <v>7224</v>
      </c>
      <c r="F18">
        <v>13348</v>
      </c>
    </row>
    <row r="19" spans="1:6" x14ac:dyDescent="0.3">
      <c r="A19" s="25" t="s">
        <v>535</v>
      </c>
      <c r="B19">
        <v>1309</v>
      </c>
      <c r="D19">
        <v>4942</v>
      </c>
      <c r="F19">
        <v>6251</v>
      </c>
    </row>
    <row r="20" spans="1:6" x14ac:dyDescent="0.3">
      <c r="A20" s="25" t="s">
        <v>536</v>
      </c>
      <c r="B20">
        <v>8361</v>
      </c>
      <c r="D20">
        <v>5698</v>
      </c>
      <c r="F20">
        <v>14059</v>
      </c>
    </row>
    <row r="21" spans="1:6" x14ac:dyDescent="0.3">
      <c r="A21" s="25" t="s">
        <v>537</v>
      </c>
      <c r="B21">
        <v>4808</v>
      </c>
      <c r="C21">
        <v>2421</v>
      </c>
      <c r="E21">
        <v>6201</v>
      </c>
      <c r="F21">
        <v>13430</v>
      </c>
    </row>
    <row r="22" spans="1:6" x14ac:dyDescent="0.3">
      <c r="A22" s="25" t="s">
        <v>538</v>
      </c>
      <c r="D22">
        <v>7767</v>
      </c>
      <c r="E22">
        <v>7115</v>
      </c>
      <c r="F22">
        <v>14882</v>
      </c>
    </row>
    <row r="23" spans="1:6" x14ac:dyDescent="0.3">
      <c r="A23" s="25" t="s">
        <v>138</v>
      </c>
      <c r="B23">
        <v>7565</v>
      </c>
      <c r="E23">
        <v>6918</v>
      </c>
      <c r="F23">
        <v>14483</v>
      </c>
    </row>
    <row r="24" spans="1:6" x14ac:dyDescent="0.3">
      <c r="A24" s="25" t="s">
        <v>169</v>
      </c>
      <c r="C24">
        <v>6452</v>
      </c>
      <c r="E24">
        <v>6439</v>
      </c>
      <c r="F24">
        <v>12891</v>
      </c>
    </row>
    <row r="25" spans="1:6" x14ac:dyDescent="0.3">
      <c r="A25" s="25" t="s">
        <v>242</v>
      </c>
      <c r="C25">
        <v>4942</v>
      </c>
      <c r="D25">
        <v>7218</v>
      </c>
      <c r="E25">
        <v>3056</v>
      </c>
      <c r="F25">
        <v>15216</v>
      </c>
    </row>
    <row r="26" spans="1:6" x14ac:dyDescent="0.3">
      <c r="A26" s="25" t="s">
        <v>539</v>
      </c>
      <c r="C26">
        <v>4882</v>
      </c>
      <c r="D26">
        <v>1017</v>
      </c>
      <c r="E26">
        <v>5220</v>
      </c>
      <c r="F26">
        <v>11119</v>
      </c>
    </row>
    <row r="27" spans="1:6" x14ac:dyDescent="0.3">
      <c r="A27" s="25" t="s">
        <v>62</v>
      </c>
      <c r="B27">
        <v>5206</v>
      </c>
      <c r="C27">
        <v>3179</v>
      </c>
      <c r="D27">
        <v>6384</v>
      </c>
      <c r="F27">
        <v>14769</v>
      </c>
    </row>
    <row r="28" spans="1:6" x14ac:dyDescent="0.3">
      <c r="A28" s="25" t="s">
        <v>461</v>
      </c>
      <c r="B28">
        <v>8485</v>
      </c>
      <c r="C28">
        <v>8945</v>
      </c>
      <c r="E28">
        <v>5143</v>
      </c>
      <c r="F28">
        <v>22573</v>
      </c>
    </row>
    <row r="29" spans="1:6" x14ac:dyDescent="0.3">
      <c r="A29" s="25" t="s">
        <v>540</v>
      </c>
      <c r="B29">
        <v>1369</v>
      </c>
      <c r="C29">
        <v>5402</v>
      </c>
      <c r="E29">
        <v>3929</v>
      </c>
      <c r="F29">
        <v>10700</v>
      </c>
    </row>
    <row r="30" spans="1:6" x14ac:dyDescent="0.3">
      <c r="A30" s="25" t="s">
        <v>187</v>
      </c>
      <c r="B30">
        <v>3461</v>
      </c>
      <c r="C30">
        <v>949</v>
      </c>
      <c r="D30">
        <v>6642</v>
      </c>
      <c r="E30">
        <v>4790</v>
      </c>
      <c r="F30">
        <v>15842</v>
      </c>
    </row>
    <row r="31" spans="1:6" x14ac:dyDescent="0.3">
      <c r="A31" s="25" t="s">
        <v>97</v>
      </c>
      <c r="B31">
        <v>3592</v>
      </c>
      <c r="C31">
        <v>8527</v>
      </c>
      <c r="D31">
        <v>6275</v>
      </c>
      <c r="F31">
        <v>18394</v>
      </c>
    </row>
    <row r="32" spans="1:6" x14ac:dyDescent="0.3">
      <c r="A32" s="25" t="s">
        <v>15</v>
      </c>
      <c r="B32">
        <v>4314</v>
      </c>
      <c r="C32">
        <v>1367</v>
      </c>
      <c r="E32">
        <v>7328</v>
      </c>
      <c r="F32">
        <v>13009</v>
      </c>
    </row>
    <row r="33" spans="1:6" x14ac:dyDescent="0.3">
      <c r="A33" s="25" t="s">
        <v>541</v>
      </c>
      <c r="B33">
        <v>4214</v>
      </c>
      <c r="C33">
        <v>8200</v>
      </c>
      <c r="D33">
        <v>3079</v>
      </c>
      <c r="F33">
        <v>15493</v>
      </c>
    </row>
    <row r="34" spans="1:6" x14ac:dyDescent="0.3">
      <c r="A34" s="25" t="s">
        <v>107</v>
      </c>
      <c r="C34">
        <v>9254</v>
      </c>
      <c r="D34">
        <v>7668</v>
      </c>
      <c r="E34">
        <v>8601</v>
      </c>
      <c r="F34">
        <v>25523</v>
      </c>
    </row>
    <row r="35" spans="1:6" x14ac:dyDescent="0.3">
      <c r="A35" s="25" t="s">
        <v>542</v>
      </c>
      <c r="B35">
        <v>2919</v>
      </c>
      <c r="C35">
        <v>7471</v>
      </c>
      <c r="D35">
        <v>7346</v>
      </c>
      <c r="E35">
        <v>1001</v>
      </c>
      <c r="F35">
        <v>18737</v>
      </c>
    </row>
    <row r="36" spans="1:6" x14ac:dyDescent="0.3">
      <c r="A36" s="25" t="s">
        <v>543</v>
      </c>
      <c r="D36">
        <v>8518</v>
      </c>
      <c r="E36">
        <v>7654</v>
      </c>
      <c r="F36">
        <v>16172</v>
      </c>
    </row>
    <row r="37" spans="1:6" x14ac:dyDescent="0.3">
      <c r="A37" s="25" t="s">
        <v>190</v>
      </c>
      <c r="B37">
        <v>3643</v>
      </c>
      <c r="C37">
        <v>7260</v>
      </c>
      <c r="D37">
        <v>6361</v>
      </c>
      <c r="F37">
        <v>17264</v>
      </c>
    </row>
    <row r="38" spans="1:6" x14ac:dyDescent="0.3">
      <c r="A38" s="25" t="s">
        <v>544</v>
      </c>
      <c r="D38">
        <v>8128</v>
      </c>
      <c r="E38">
        <v>3805</v>
      </c>
      <c r="F38">
        <v>11933</v>
      </c>
    </row>
    <row r="39" spans="1:6" x14ac:dyDescent="0.3">
      <c r="A39" s="25" t="s">
        <v>448</v>
      </c>
      <c r="C39">
        <v>3420</v>
      </c>
      <c r="D39">
        <v>1020</v>
      </c>
      <c r="F39">
        <v>4440</v>
      </c>
    </row>
    <row r="40" spans="1:6" x14ac:dyDescent="0.3">
      <c r="A40" s="25" t="s">
        <v>109</v>
      </c>
      <c r="B40">
        <v>5439</v>
      </c>
      <c r="C40">
        <v>5101</v>
      </c>
      <c r="D40">
        <v>1290</v>
      </c>
      <c r="F40">
        <v>11830</v>
      </c>
    </row>
    <row r="41" spans="1:6" x14ac:dyDescent="0.3">
      <c r="A41" s="25" t="s">
        <v>122</v>
      </c>
      <c r="B41">
        <v>9125</v>
      </c>
      <c r="E41">
        <v>8979</v>
      </c>
      <c r="F41">
        <v>18104</v>
      </c>
    </row>
    <row r="42" spans="1:6" x14ac:dyDescent="0.3">
      <c r="A42" s="25" t="s">
        <v>166</v>
      </c>
      <c r="C42">
        <v>7432</v>
      </c>
      <c r="D42">
        <v>2081</v>
      </c>
      <c r="E42">
        <v>6631</v>
      </c>
      <c r="F42">
        <v>16144</v>
      </c>
    </row>
    <row r="43" spans="1:6" x14ac:dyDescent="0.3">
      <c r="A43" s="25" t="s">
        <v>545</v>
      </c>
      <c r="B43">
        <v>2994</v>
      </c>
      <c r="C43">
        <v>2535</v>
      </c>
      <c r="D43">
        <v>8723</v>
      </c>
      <c r="E43">
        <v>3555</v>
      </c>
      <c r="F43">
        <v>17807</v>
      </c>
    </row>
    <row r="44" spans="1:6" x14ac:dyDescent="0.3">
      <c r="A44" s="25" t="s">
        <v>546</v>
      </c>
      <c r="B44">
        <v>8292</v>
      </c>
      <c r="C44">
        <v>7509</v>
      </c>
      <c r="F44">
        <v>15801</v>
      </c>
    </row>
    <row r="45" spans="1:6" x14ac:dyDescent="0.3">
      <c r="A45" s="25" t="s">
        <v>349</v>
      </c>
      <c r="C45">
        <v>9044</v>
      </c>
      <c r="E45">
        <v>4189</v>
      </c>
      <c r="F45">
        <v>13233</v>
      </c>
    </row>
    <row r="46" spans="1:6" x14ac:dyDescent="0.3">
      <c r="A46" s="25" t="s">
        <v>547</v>
      </c>
      <c r="B46">
        <v>6128</v>
      </c>
      <c r="C46">
        <v>1660</v>
      </c>
      <c r="D46">
        <v>6272</v>
      </c>
      <c r="E46">
        <v>1567</v>
      </c>
      <c r="F46">
        <v>15627</v>
      </c>
    </row>
    <row r="47" spans="1:6" x14ac:dyDescent="0.3">
      <c r="A47" s="25" t="s">
        <v>364</v>
      </c>
      <c r="B47">
        <v>1425</v>
      </c>
      <c r="C47">
        <v>4542</v>
      </c>
      <c r="D47">
        <v>8319</v>
      </c>
      <c r="E47">
        <v>6434</v>
      </c>
      <c r="F47">
        <v>20720</v>
      </c>
    </row>
    <row r="48" spans="1:6" x14ac:dyDescent="0.3">
      <c r="A48" s="25" t="s">
        <v>548</v>
      </c>
      <c r="C48">
        <v>7849</v>
      </c>
      <c r="F48">
        <v>7849</v>
      </c>
    </row>
    <row r="49" spans="1:6" x14ac:dyDescent="0.3">
      <c r="A49" s="25" t="s">
        <v>549</v>
      </c>
      <c r="B49">
        <v>5491</v>
      </c>
      <c r="D49">
        <v>7058</v>
      </c>
      <c r="F49">
        <v>12549</v>
      </c>
    </row>
    <row r="50" spans="1:6" x14ac:dyDescent="0.3">
      <c r="A50" s="25" t="s">
        <v>322</v>
      </c>
      <c r="C50">
        <v>1512</v>
      </c>
      <c r="D50">
        <v>2926</v>
      </c>
      <c r="F50">
        <v>4438</v>
      </c>
    </row>
    <row r="51" spans="1:6" x14ac:dyDescent="0.3">
      <c r="A51" s="25" t="s">
        <v>69</v>
      </c>
      <c r="B51">
        <v>7959</v>
      </c>
      <c r="C51">
        <v>893</v>
      </c>
      <c r="E51">
        <v>5210</v>
      </c>
      <c r="F51">
        <v>14062</v>
      </c>
    </row>
    <row r="52" spans="1:6" x14ac:dyDescent="0.3">
      <c r="A52" s="25" t="s">
        <v>27</v>
      </c>
      <c r="B52">
        <v>2805</v>
      </c>
      <c r="C52">
        <v>7025</v>
      </c>
      <c r="D52">
        <v>7436</v>
      </c>
      <c r="F52">
        <v>17266</v>
      </c>
    </row>
    <row r="53" spans="1:6" x14ac:dyDescent="0.3">
      <c r="A53" s="25" t="s">
        <v>516</v>
      </c>
      <c r="B53">
        <v>177200</v>
      </c>
      <c r="C53">
        <v>183939</v>
      </c>
      <c r="D53">
        <v>221302</v>
      </c>
      <c r="E53">
        <v>188664</v>
      </c>
      <c r="F53">
        <v>771105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3B017-8AAC-4B21-8CFF-3E5CF973B272}">
  <dimension ref="A1:K1000"/>
  <sheetViews>
    <sheetView zoomScale="19" workbookViewId="0">
      <selection activeCell="K24" sqref="K24"/>
    </sheetView>
  </sheetViews>
  <sheetFormatPr defaultColWidth="14.44140625" defaultRowHeight="14.4" x14ac:dyDescent="0.3"/>
  <cols>
    <col min="1" max="1" width="30.33203125" style="23" customWidth="1"/>
    <col min="2" max="2" width="19.44140625" style="23" customWidth="1"/>
    <col min="3" max="3" width="25.88671875" style="23" customWidth="1"/>
    <col min="4" max="4" width="16.88671875" style="23" customWidth="1"/>
    <col min="5" max="6" width="23.33203125" style="23" customWidth="1"/>
    <col min="7" max="7" width="21.5546875" style="23" customWidth="1"/>
    <col min="8" max="8" width="24.5546875" style="23" customWidth="1"/>
    <col min="9" max="9" width="38.5546875" style="23" customWidth="1"/>
    <col min="10" max="10" width="8.6640625" style="23" customWidth="1"/>
    <col min="11" max="11" width="48.5546875" style="23" customWidth="1"/>
    <col min="12" max="27" width="8.6640625" style="23" customWidth="1"/>
    <col min="28" max="16384" width="14.44140625" style="23"/>
  </cols>
  <sheetData>
    <row r="1" spans="1:11" ht="14.25" customHeight="1" x14ac:dyDescent="0.3">
      <c r="A1" s="35" t="s">
        <v>526</v>
      </c>
      <c r="B1" s="36" t="s">
        <v>1</v>
      </c>
      <c r="C1" s="37" t="s">
        <v>527</v>
      </c>
      <c r="D1" s="37" t="s">
        <v>528</v>
      </c>
      <c r="E1" s="37" t="s">
        <v>529</v>
      </c>
      <c r="F1" s="38" t="s">
        <v>551</v>
      </c>
      <c r="G1" s="59" t="s">
        <v>530</v>
      </c>
      <c r="H1" s="39" t="s">
        <v>531</v>
      </c>
      <c r="I1" s="55" t="s">
        <v>587</v>
      </c>
    </row>
    <row r="2" spans="1:11" ht="14.25" customHeight="1" x14ac:dyDescent="0.3">
      <c r="A2" s="40" t="s">
        <v>107</v>
      </c>
      <c r="B2" s="41" t="s">
        <v>21</v>
      </c>
      <c r="C2" s="42">
        <v>9980</v>
      </c>
      <c r="D2" s="42">
        <v>726</v>
      </c>
      <c r="E2" s="42">
        <v>781868</v>
      </c>
      <c r="F2" s="43">
        <f t="shared" ref="F2:F33" si="0">(C2-D2)/E2</f>
        <v>1.1835757442432739E-2</v>
      </c>
      <c r="G2" s="60">
        <v>4.0220344099003924</v>
      </c>
      <c r="H2" s="44">
        <v>58709</v>
      </c>
      <c r="I2" s="42">
        <f t="shared" ref="I2:I33" si="1">(C2-D2)</f>
        <v>9254</v>
      </c>
    </row>
    <row r="3" spans="1:11" ht="14.25" customHeight="1" x14ac:dyDescent="0.3">
      <c r="A3" s="40" t="s">
        <v>122</v>
      </c>
      <c r="B3" s="41" t="s">
        <v>26</v>
      </c>
      <c r="C3" s="42">
        <v>9754</v>
      </c>
      <c r="D3" s="42">
        <v>629</v>
      </c>
      <c r="E3" s="42">
        <v>938068</v>
      </c>
      <c r="F3" s="43">
        <f t="shared" si="0"/>
        <v>9.7274398018054129E-3</v>
      </c>
      <c r="G3" s="60">
        <v>3.4123325814333292</v>
      </c>
      <c r="H3" s="44">
        <v>19435</v>
      </c>
      <c r="I3" s="42">
        <f t="shared" si="1"/>
        <v>9125</v>
      </c>
    </row>
    <row r="4" spans="1:11" ht="14.25" customHeight="1" x14ac:dyDescent="0.3">
      <c r="A4" s="40" t="s">
        <v>76</v>
      </c>
      <c r="B4" s="41" t="s">
        <v>14</v>
      </c>
      <c r="C4" s="42">
        <v>9800</v>
      </c>
      <c r="D4" s="42">
        <v>682</v>
      </c>
      <c r="E4" s="42">
        <v>429929</v>
      </c>
      <c r="F4" s="43">
        <f t="shared" si="0"/>
        <v>2.1208152974095722E-2</v>
      </c>
      <c r="G4" s="60">
        <v>6.2966210699906267</v>
      </c>
      <c r="H4" s="44">
        <v>59815</v>
      </c>
      <c r="I4" s="42">
        <f t="shared" si="1"/>
        <v>9118</v>
      </c>
    </row>
    <row r="5" spans="1:11" ht="14.25" customHeight="1" x14ac:dyDescent="0.3">
      <c r="A5" s="40" t="s">
        <v>533</v>
      </c>
      <c r="B5" s="41" t="s">
        <v>14</v>
      </c>
      <c r="C5" s="42">
        <v>9734</v>
      </c>
      <c r="D5" s="42">
        <v>652</v>
      </c>
      <c r="E5" s="42">
        <v>289283</v>
      </c>
      <c r="F5" s="43">
        <f t="shared" si="0"/>
        <v>3.1394862470314533E-2</v>
      </c>
      <c r="G5" s="60">
        <v>49.647922622483861</v>
      </c>
      <c r="H5" s="44">
        <v>25379</v>
      </c>
      <c r="I5" s="42">
        <f t="shared" si="1"/>
        <v>9082</v>
      </c>
      <c r="K5" s="65"/>
    </row>
    <row r="6" spans="1:11" ht="14.25" customHeight="1" x14ac:dyDescent="0.3">
      <c r="A6" s="40" t="s">
        <v>349</v>
      </c>
      <c r="B6" s="41" t="s">
        <v>21</v>
      </c>
      <c r="C6" s="42">
        <v>9561</v>
      </c>
      <c r="D6" s="42">
        <v>517</v>
      </c>
      <c r="E6" s="42">
        <v>1034649</v>
      </c>
      <c r="F6" s="43">
        <f t="shared" si="0"/>
        <v>8.741128633961856E-3</v>
      </c>
      <c r="G6" s="60">
        <v>6.4086467971263694</v>
      </c>
      <c r="H6" s="44">
        <v>15347</v>
      </c>
      <c r="I6" s="42">
        <f t="shared" si="1"/>
        <v>9044</v>
      </c>
      <c r="K6" s="65"/>
    </row>
    <row r="7" spans="1:11" ht="14.25" customHeight="1" x14ac:dyDescent="0.3">
      <c r="A7" s="40" t="s">
        <v>122</v>
      </c>
      <c r="B7" s="41" t="s">
        <v>14</v>
      </c>
      <c r="C7" s="42">
        <v>9964</v>
      </c>
      <c r="D7" s="42">
        <v>985</v>
      </c>
      <c r="E7" s="42">
        <v>947047</v>
      </c>
      <c r="F7" s="43">
        <f t="shared" si="0"/>
        <v>9.4810500429228957E-3</v>
      </c>
      <c r="G7" s="60">
        <v>1.9837452629066989</v>
      </c>
      <c r="H7" s="44">
        <v>47766</v>
      </c>
      <c r="I7" s="42">
        <f t="shared" si="1"/>
        <v>8979</v>
      </c>
      <c r="K7" s="65"/>
    </row>
    <row r="8" spans="1:11" ht="14.25" customHeight="1" x14ac:dyDescent="0.3">
      <c r="A8" s="40" t="s">
        <v>461</v>
      </c>
      <c r="B8" s="41" t="s">
        <v>21</v>
      </c>
      <c r="C8" s="42">
        <v>9737</v>
      </c>
      <c r="D8" s="42">
        <v>792</v>
      </c>
      <c r="E8" s="42">
        <v>670642</v>
      </c>
      <c r="F8" s="43">
        <f t="shared" si="0"/>
        <v>1.3337965710468476E-2</v>
      </c>
      <c r="G8" s="60">
        <v>5.301785453341723</v>
      </c>
      <c r="H8" s="44">
        <v>56698</v>
      </c>
      <c r="I8" s="42">
        <f t="shared" si="1"/>
        <v>8945</v>
      </c>
      <c r="K8" s="65"/>
    </row>
    <row r="9" spans="1:11" ht="14.25" customHeight="1" x14ac:dyDescent="0.3">
      <c r="A9" s="40" t="s">
        <v>545</v>
      </c>
      <c r="B9" s="41" t="s">
        <v>53</v>
      </c>
      <c r="C9" s="42">
        <v>9551</v>
      </c>
      <c r="D9" s="42">
        <v>828</v>
      </c>
      <c r="E9" s="42">
        <v>988501</v>
      </c>
      <c r="F9" s="43">
        <f t="shared" si="0"/>
        <v>8.8244726105487E-3</v>
      </c>
      <c r="G9" s="60">
        <v>1.525036393488727</v>
      </c>
      <c r="H9" s="44">
        <v>38047</v>
      </c>
      <c r="I9" s="42">
        <f t="shared" si="1"/>
        <v>8723</v>
      </c>
      <c r="K9" s="65"/>
    </row>
    <row r="10" spans="1:11" ht="14.25" customHeight="1" x14ac:dyDescent="0.3">
      <c r="A10" s="40" t="s">
        <v>42</v>
      </c>
      <c r="B10" s="41" t="s">
        <v>53</v>
      </c>
      <c r="C10" s="42">
        <v>9984</v>
      </c>
      <c r="D10" s="42">
        <v>1330</v>
      </c>
      <c r="E10" s="42">
        <v>184850</v>
      </c>
      <c r="F10" s="43">
        <f t="shared" si="0"/>
        <v>4.6816337571003515E-2</v>
      </c>
      <c r="G10" s="60">
        <v>57.524479307546663</v>
      </c>
      <c r="H10" s="44">
        <v>44947</v>
      </c>
      <c r="I10" s="42">
        <f t="shared" si="1"/>
        <v>8654</v>
      </c>
      <c r="K10" s="65"/>
    </row>
    <row r="11" spans="1:11" ht="14.25" customHeight="1" x14ac:dyDescent="0.3">
      <c r="A11" s="40" t="s">
        <v>42</v>
      </c>
      <c r="B11" s="41" t="s">
        <v>14</v>
      </c>
      <c r="C11" s="42">
        <v>9286</v>
      </c>
      <c r="D11" s="42">
        <v>633</v>
      </c>
      <c r="E11" s="42">
        <v>198388</v>
      </c>
      <c r="F11" s="43">
        <f t="shared" si="0"/>
        <v>4.3616549388067825E-2</v>
      </c>
      <c r="G11" s="60">
        <v>5.4343004617214756</v>
      </c>
      <c r="H11" s="44">
        <v>48019</v>
      </c>
      <c r="I11" s="42">
        <f t="shared" si="1"/>
        <v>8653</v>
      </c>
      <c r="K11" s="65"/>
    </row>
    <row r="12" spans="1:11" ht="14.25" customHeight="1" x14ac:dyDescent="0.3">
      <c r="A12" s="40" t="s">
        <v>107</v>
      </c>
      <c r="B12" s="41" t="s">
        <v>14</v>
      </c>
      <c r="C12" s="42">
        <v>9906</v>
      </c>
      <c r="D12" s="42">
        <v>1305</v>
      </c>
      <c r="E12" s="42">
        <v>798137</v>
      </c>
      <c r="F12" s="43">
        <f t="shared" si="0"/>
        <v>1.0776345414383746E-2</v>
      </c>
      <c r="G12" s="60">
        <v>9.1811305577864442</v>
      </c>
      <c r="H12" s="44">
        <v>29715</v>
      </c>
      <c r="I12" s="42">
        <f t="shared" si="1"/>
        <v>8601</v>
      </c>
      <c r="K12" s="65"/>
    </row>
    <row r="13" spans="1:11" ht="14.25" customHeight="1" x14ac:dyDescent="0.3">
      <c r="A13" s="40" t="s">
        <v>97</v>
      </c>
      <c r="B13" s="41" t="s">
        <v>21</v>
      </c>
      <c r="C13" s="42">
        <v>9616</v>
      </c>
      <c r="D13" s="42">
        <v>1089</v>
      </c>
      <c r="E13" s="42">
        <v>723286</v>
      </c>
      <c r="F13" s="43">
        <f t="shared" si="0"/>
        <v>1.178925072516266E-2</v>
      </c>
      <c r="G13" s="60">
        <v>19.25863351426683</v>
      </c>
      <c r="H13" s="44">
        <v>15017</v>
      </c>
      <c r="I13" s="42">
        <f t="shared" si="1"/>
        <v>8527</v>
      </c>
      <c r="K13" s="65"/>
    </row>
    <row r="14" spans="1:11" ht="14.25" customHeight="1" x14ac:dyDescent="0.3">
      <c r="A14" s="40" t="s">
        <v>543</v>
      </c>
      <c r="B14" s="41" t="s">
        <v>53</v>
      </c>
      <c r="C14" s="42">
        <v>9080</v>
      </c>
      <c r="D14" s="42">
        <v>562</v>
      </c>
      <c r="E14" s="42">
        <v>826926</v>
      </c>
      <c r="F14" s="43">
        <f t="shared" si="0"/>
        <v>1.0300800797169276E-2</v>
      </c>
      <c r="G14" s="60">
        <v>7.1083748727213809</v>
      </c>
      <c r="H14" s="44">
        <v>13384</v>
      </c>
      <c r="I14" s="42">
        <f t="shared" si="1"/>
        <v>8518</v>
      </c>
      <c r="K14" s="65"/>
    </row>
    <row r="15" spans="1:11" ht="14.25" customHeight="1" x14ac:dyDescent="0.3">
      <c r="A15" s="40" t="s">
        <v>461</v>
      </c>
      <c r="B15" s="41" t="s">
        <v>26</v>
      </c>
      <c r="C15" s="42">
        <v>8961</v>
      </c>
      <c r="D15" s="42">
        <v>476</v>
      </c>
      <c r="E15" s="42">
        <v>655645</v>
      </c>
      <c r="F15" s="43">
        <f t="shared" si="0"/>
        <v>1.2941454598143812E-2</v>
      </c>
      <c r="G15" s="60">
        <v>15.458517947974901</v>
      </c>
      <c r="H15" s="44">
        <v>44865</v>
      </c>
      <c r="I15" s="42">
        <f t="shared" si="1"/>
        <v>8485</v>
      </c>
    </row>
    <row r="16" spans="1:11" ht="14.25" customHeight="1" x14ac:dyDescent="0.3">
      <c r="A16" s="40" t="s">
        <v>404</v>
      </c>
      <c r="B16" s="41" t="s">
        <v>53</v>
      </c>
      <c r="C16" s="42">
        <v>9429</v>
      </c>
      <c r="D16" s="42">
        <v>966</v>
      </c>
      <c r="E16" s="42">
        <v>218723</v>
      </c>
      <c r="F16" s="43">
        <f t="shared" si="0"/>
        <v>3.8692775794040866E-2</v>
      </c>
      <c r="G16" s="60">
        <v>7.6914636320825887</v>
      </c>
      <c r="H16" s="44">
        <v>57639</v>
      </c>
      <c r="I16" s="42">
        <f t="shared" si="1"/>
        <v>8463</v>
      </c>
    </row>
    <row r="17" spans="1:9" ht="14.25" customHeight="1" x14ac:dyDescent="0.3">
      <c r="A17" s="40" t="s">
        <v>536</v>
      </c>
      <c r="B17" s="41" t="s">
        <v>26</v>
      </c>
      <c r="C17" s="42">
        <v>8870</v>
      </c>
      <c r="D17" s="42">
        <v>509</v>
      </c>
      <c r="E17" s="42">
        <v>480320</v>
      </c>
      <c r="F17" s="43">
        <f t="shared" si="0"/>
        <v>1.7407145236508995E-2</v>
      </c>
      <c r="G17" s="60">
        <v>25.077864756828781</v>
      </c>
      <c r="H17" s="44">
        <v>15469</v>
      </c>
      <c r="I17" s="42">
        <f t="shared" si="1"/>
        <v>8361</v>
      </c>
    </row>
    <row r="18" spans="1:9" ht="14.25" customHeight="1" x14ac:dyDescent="0.3">
      <c r="A18" s="40" t="s">
        <v>364</v>
      </c>
      <c r="B18" s="41" t="s">
        <v>53</v>
      </c>
      <c r="C18" s="42">
        <v>9714</v>
      </c>
      <c r="D18" s="42">
        <v>1395</v>
      </c>
      <c r="E18" s="42">
        <v>1085943</v>
      </c>
      <c r="F18" s="43">
        <f t="shared" si="0"/>
        <v>7.6606230713766746E-3</v>
      </c>
      <c r="G18" s="60">
        <v>5.2243073531483697</v>
      </c>
      <c r="H18" s="44">
        <v>40682</v>
      </c>
      <c r="I18" s="42">
        <f t="shared" si="1"/>
        <v>8319</v>
      </c>
    </row>
    <row r="19" spans="1:9" ht="14.25" customHeight="1" x14ac:dyDescent="0.3">
      <c r="A19" s="40" t="s">
        <v>546</v>
      </c>
      <c r="B19" s="41" t="s">
        <v>26</v>
      </c>
      <c r="C19" s="42">
        <v>9569</v>
      </c>
      <c r="D19" s="42">
        <v>1277</v>
      </c>
      <c r="E19" s="42">
        <v>1013386</v>
      </c>
      <c r="F19" s="43">
        <f t="shared" si="0"/>
        <v>8.1824694637581338E-3</v>
      </c>
      <c r="G19" s="60">
        <v>12.45517502708741</v>
      </c>
      <c r="H19" s="44">
        <v>59733</v>
      </c>
      <c r="I19" s="42">
        <f t="shared" si="1"/>
        <v>8292</v>
      </c>
    </row>
    <row r="20" spans="1:9" ht="14.25" customHeight="1" x14ac:dyDescent="0.3">
      <c r="A20" s="40" t="s">
        <v>67</v>
      </c>
      <c r="B20" s="41" t="s">
        <v>26</v>
      </c>
      <c r="C20" s="42">
        <v>9648</v>
      </c>
      <c r="D20" s="42">
        <v>1417</v>
      </c>
      <c r="E20" s="42">
        <v>385849</v>
      </c>
      <c r="F20" s="43">
        <f t="shared" si="0"/>
        <v>2.1332179168534842E-2</v>
      </c>
      <c r="G20" s="60">
        <v>3.6633501706626168</v>
      </c>
      <c r="H20" s="44">
        <v>24226</v>
      </c>
      <c r="I20" s="42">
        <f t="shared" si="1"/>
        <v>8231</v>
      </c>
    </row>
    <row r="21" spans="1:9" ht="14.25" customHeight="1" x14ac:dyDescent="0.3">
      <c r="A21" s="40" t="s">
        <v>164</v>
      </c>
      <c r="B21" s="41" t="s">
        <v>21</v>
      </c>
      <c r="C21" s="42">
        <v>9591</v>
      </c>
      <c r="D21" s="42">
        <v>1363</v>
      </c>
      <c r="E21" s="42">
        <v>413369</v>
      </c>
      <c r="F21" s="43">
        <f t="shared" si="0"/>
        <v>1.9904734026983156E-2</v>
      </c>
      <c r="G21" s="60">
        <v>10.494255737609739</v>
      </c>
      <c r="H21" s="44">
        <v>15997</v>
      </c>
      <c r="I21" s="42">
        <f t="shared" si="1"/>
        <v>8228</v>
      </c>
    </row>
    <row r="22" spans="1:9" ht="14.25" customHeight="1" x14ac:dyDescent="0.3">
      <c r="A22" s="40" t="s">
        <v>541</v>
      </c>
      <c r="B22" s="41" t="s">
        <v>21</v>
      </c>
      <c r="C22" s="42">
        <v>9433</v>
      </c>
      <c r="D22" s="42">
        <v>1233</v>
      </c>
      <c r="E22" s="42">
        <v>756944</v>
      </c>
      <c r="F22" s="43">
        <f t="shared" si="0"/>
        <v>1.0833033883616226E-2</v>
      </c>
      <c r="G22" s="60">
        <v>11.391727789638329</v>
      </c>
      <c r="H22" s="44">
        <v>12096</v>
      </c>
      <c r="I22" s="42">
        <f t="shared" si="1"/>
        <v>8200</v>
      </c>
    </row>
    <row r="23" spans="1:9" ht="14.25" customHeight="1" x14ac:dyDescent="0.3">
      <c r="A23" s="40" t="s">
        <v>544</v>
      </c>
      <c r="B23" s="41" t="s">
        <v>53</v>
      </c>
      <c r="C23" s="42">
        <v>8788</v>
      </c>
      <c r="D23" s="42">
        <v>660</v>
      </c>
      <c r="E23" s="42">
        <v>880842</v>
      </c>
      <c r="F23" s="43">
        <f t="shared" si="0"/>
        <v>9.2275345635199051E-3</v>
      </c>
      <c r="G23" s="60">
        <v>3.7175793161543158</v>
      </c>
      <c r="H23" s="44">
        <v>17710</v>
      </c>
      <c r="I23" s="42">
        <f t="shared" si="1"/>
        <v>8128</v>
      </c>
    </row>
    <row r="24" spans="1:9" ht="14.25" customHeight="1" x14ac:dyDescent="0.3">
      <c r="A24" s="40" t="s">
        <v>197</v>
      </c>
      <c r="B24" s="41" t="s">
        <v>14</v>
      </c>
      <c r="C24" s="42">
        <v>9264</v>
      </c>
      <c r="D24" s="42">
        <v>1141</v>
      </c>
      <c r="E24" s="42">
        <v>119332</v>
      </c>
      <c r="F24" s="43">
        <f t="shared" si="0"/>
        <v>6.8070592967519189E-2</v>
      </c>
      <c r="G24" s="60">
        <v>92.312204605638044</v>
      </c>
      <c r="H24" s="44">
        <v>50372</v>
      </c>
      <c r="I24" s="42">
        <f t="shared" si="1"/>
        <v>8123</v>
      </c>
    </row>
    <row r="25" spans="1:9" ht="14.25" customHeight="1" x14ac:dyDescent="0.3">
      <c r="A25" s="40" t="s">
        <v>69</v>
      </c>
      <c r="B25" s="41" t="s">
        <v>26</v>
      </c>
      <c r="C25" s="42">
        <v>8697</v>
      </c>
      <c r="D25" s="42">
        <v>738</v>
      </c>
      <c r="E25" s="42">
        <v>1168011</v>
      </c>
      <c r="F25" s="43">
        <f t="shared" si="0"/>
        <v>6.8141481544266276E-3</v>
      </c>
      <c r="G25" s="60">
        <v>3.8777032065622672</v>
      </c>
      <c r="H25" s="44">
        <v>30644</v>
      </c>
      <c r="I25" s="42">
        <f t="shared" si="1"/>
        <v>7959</v>
      </c>
    </row>
    <row r="26" spans="1:9" ht="14.25" customHeight="1" x14ac:dyDescent="0.3">
      <c r="A26" s="40" t="s">
        <v>548</v>
      </c>
      <c r="B26" s="41" t="s">
        <v>21</v>
      </c>
      <c r="C26" s="42">
        <v>8569</v>
      </c>
      <c r="D26" s="42">
        <v>720</v>
      </c>
      <c r="E26" s="42">
        <v>1095217</v>
      </c>
      <c r="F26" s="43">
        <f t="shared" si="0"/>
        <v>7.1666162961312686E-3</v>
      </c>
      <c r="G26" s="60">
        <v>9.589697749395782</v>
      </c>
      <c r="H26" s="44">
        <v>41358</v>
      </c>
      <c r="I26" s="42">
        <f t="shared" si="1"/>
        <v>7849</v>
      </c>
    </row>
    <row r="27" spans="1:9" ht="14.25" customHeight="1" x14ac:dyDescent="0.3">
      <c r="A27" s="40" t="s">
        <v>538</v>
      </c>
      <c r="B27" s="41" t="s">
        <v>53</v>
      </c>
      <c r="C27" s="42">
        <v>8898</v>
      </c>
      <c r="D27" s="42">
        <v>1131</v>
      </c>
      <c r="E27" s="42">
        <v>515737</v>
      </c>
      <c r="F27" s="43">
        <f t="shared" si="0"/>
        <v>1.5060001512398761E-2</v>
      </c>
      <c r="G27" s="60">
        <v>2.1877429775253669</v>
      </c>
      <c r="H27" s="44">
        <v>35051</v>
      </c>
      <c r="I27" s="42">
        <f t="shared" si="1"/>
        <v>7767</v>
      </c>
    </row>
    <row r="28" spans="1:9" ht="14.25" customHeight="1" x14ac:dyDescent="0.3">
      <c r="A28" s="40" t="s">
        <v>533</v>
      </c>
      <c r="B28" s="41" t="s">
        <v>53</v>
      </c>
      <c r="C28" s="42">
        <v>8179</v>
      </c>
      <c r="D28" s="42">
        <v>446</v>
      </c>
      <c r="E28" s="42">
        <v>272227</v>
      </c>
      <c r="F28" s="43">
        <f t="shared" si="0"/>
        <v>2.8406440213498294E-2</v>
      </c>
      <c r="G28" s="60">
        <v>41.82171496581897</v>
      </c>
      <c r="H28" s="44">
        <v>43848</v>
      </c>
      <c r="I28" s="42">
        <f t="shared" si="1"/>
        <v>7733</v>
      </c>
    </row>
    <row r="29" spans="1:9" ht="14.25" customHeight="1" x14ac:dyDescent="0.3">
      <c r="A29" s="40" t="s">
        <v>107</v>
      </c>
      <c r="B29" s="41" t="s">
        <v>53</v>
      </c>
      <c r="C29" s="42">
        <v>8451</v>
      </c>
      <c r="D29" s="42">
        <v>783</v>
      </c>
      <c r="E29" s="42">
        <v>789536</v>
      </c>
      <c r="F29" s="43">
        <f t="shared" si="0"/>
        <v>9.7120333968305442E-3</v>
      </c>
      <c r="G29" s="60">
        <v>12.407287318121019</v>
      </c>
      <c r="H29" s="44">
        <v>36201</v>
      </c>
      <c r="I29" s="42">
        <f t="shared" si="1"/>
        <v>7668</v>
      </c>
    </row>
    <row r="30" spans="1:9" ht="14.25" customHeight="1" x14ac:dyDescent="0.3">
      <c r="A30" s="40" t="s">
        <v>543</v>
      </c>
      <c r="B30" s="41" t="s">
        <v>14</v>
      </c>
      <c r="C30" s="42">
        <v>8340</v>
      </c>
      <c r="D30" s="42">
        <v>686</v>
      </c>
      <c r="E30" s="42">
        <v>846217</v>
      </c>
      <c r="F30" s="43">
        <f t="shared" si="0"/>
        <v>9.0449612806171465E-3</v>
      </c>
      <c r="G30" s="60">
        <v>7.201344336027284</v>
      </c>
      <c r="H30" s="44">
        <v>23493</v>
      </c>
      <c r="I30" s="42">
        <f t="shared" si="1"/>
        <v>7654</v>
      </c>
    </row>
    <row r="31" spans="1:9" ht="14.25" customHeight="1" x14ac:dyDescent="0.3">
      <c r="A31" s="40" t="s">
        <v>138</v>
      </c>
      <c r="B31" s="41" t="s">
        <v>26</v>
      </c>
      <c r="C31" s="42">
        <v>8758</v>
      </c>
      <c r="D31" s="42">
        <v>1193</v>
      </c>
      <c r="E31" s="42">
        <v>538906</v>
      </c>
      <c r="F31" s="43">
        <f t="shared" si="0"/>
        <v>1.4037698596786824E-2</v>
      </c>
      <c r="G31" s="60">
        <v>3.4213758985797149</v>
      </c>
      <c r="H31" s="44">
        <v>26184</v>
      </c>
      <c r="I31" s="42">
        <f t="shared" si="1"/>
        <v>7565</v>
      </c>
    </row>
    <row r="32" spans="1:9" ht="14.25" customHeight="1" x14ac:dyDescent="0.3">
      <c r="A32" s="40" t="s">
        <v>546</v>
      </c>
      <c r="B32" s="41" t="s">
        <v>21</v>
      </c>
      <c r="C32" s="42">
        <v>7979</v>
      </c>
      <c r="D32" s="42">
        <v>470</v>
      </c>
      <c r="E32" s="42">
        <v>1005094</v>
      </c>
      <c r="F32" s="43">
        <f t="shared" si="0"/>
        <v>7.4709430162750948E-3</v>
      </c>
      <c r="G32" s="60">
        <v>10.43086517280971</v>
      </c>
      <c r="H32" s="44">
        <v>42972</v>
      </c>
      <c r="I32" s="42">
        <f t="shared" si="1"/>
        <v>7509</v>
      </c>
    </row>
    <row r="33" spans="1:9" ht="14.25" customHeight="1" x14ac:dyDescent="0.3">
      <c r="A33" s="40" t="s">
        <v>210</v>
      </c>
      <c r="B33" s="41" t="s">
        <v>14</v>
      </c>
      <c r="C33" s="42">
        <v>8002</v>
      </c>
      <c r="D33" s="42">
        <v>524</v>
      </c>
      <c r="E33" s="42">
        <v>141896</v>
      </c>
      <c r="F33" s="43">
        <f t="shared" si="0"/>
        <v>5.270056943113266E-2</v>
      </c>
      <c r="G33" s="60">
        <v>52.064892597395271</v>
      </c>
      <c r="H33" s="44">
        <v>46751</v>
      </c>
      <c r="I33" s="42">
        <f t="shared" si="1"/>
        <v>7478</v>
      </c>
    </row>
    <row r="34" spans="1:9" ht="14.25" customHeight="1" x14ac:dyDescent="0.3">
      <c r="A34" s="40" t="s">
        <v>542</v>
      </c>
      <c r="B34" s="41" t="s">
        <v>21</v>
      </c>
      <c r="C34" s="42">
        <v>7869</v>
      </c>
      <c r="D34" s="42">
        <v>398</v>
      </c>
      <c r="E34" s="42">
        <v>807142</v>
      </c>
      <c r="F34" s="43">
        <f t="shared" ref="F34:F65" si="2">(C34-D34)/E34</f>
        <v>9.2561160241940079E-3</v>
      </c>
      <c r="G34" s="60">
        <v>15.211945357818079</v>
      </c>
      <c r="H34" s="44">
        <v>25078</v>
      </c>
      <c r="I34" s="42">
        <f t="shared" ref="I34:I65" si="3">(C34-D34)</f>
        <v>7471</v>
      </c>
    </row>
    <row r="35" spans="1:9" ht="14.25" customHeight="1" x14ac:dyDescent="0.3">
      <c r="A35" s="40" t="s">
        <v>134</v>
      </c>
      <c r="B35" s="41" t="s">
        <v>26</v>
      </c>
      <c r="C35" s="42">
        <v>8373</v>
      </c>
      <c r="D35" s="42">
        <v>921</v>
      </c>
      <c r="E35" s="42">
        <v>157717</v>
      </c>
      <c r="F35" s="43">
        <f t="shared" si="2"/>
        <v>4.7249186834646864E-2</v>
      </c>
      <c r="G35" s="60">
        <v>12.2263294381709</v>
      </c>
      <c r="H35" s="44">
        <v>15110</v>
      </c>
      <c r="I35" s="42">
        <f t="shared" si="3"/>
        <v>7452</v>
      </c>
    </row>
    <row r="36" spans="1:9" ht="14.25" customHeight="1" x14ac:dyDescent="0.3">
      <c r="A36" s="40" t="s">
        <v>76</v>
      </c>
      <c r="B36" s="41" t="s">
        <v>26</v>
      </c>
      <c r="C36" s="42">
        <v>7907</v>
      </c>
      <c r="D36" s="42">
        <v>465</v>
      </c>
      <c r="E36" s="42">
        <v>420811</v>
      </c>
      <c r="F36" s="43">
        <f t="shared" si="2"/>
        <v>1.76848989213685E-2</v>
      </c>
      <c r="G36" s="60">
        <v>33.257448118038738</v>
      </c>
      <c r="H36" s="44">
        <v>22693</v>
      </c>
      <c r="I36" s="42">
        <f t="shared" si="3"/>
        <v>7442</v>
      </c>
    </row>
    <row r="37" spans="1:9" ht="14.25" customHeight="1" x14ac:dyDescent="0.3">
      <c r="A37" s="40" t="s">
        <v>27</v>
      </c>
      <c r="B37" s="41" t="s">
        <v>53</v>
      </c>
      <c r="C37" s="42">
        <v>8527</v>
      </c>
      <c r="D37" s="42">
        <v>1091</v>
      </c>
      <c r="E37" s="42">
        <v>1186398</v>
      </c>
      <c r="F37" s="43">
        <f t="shared" si="2"/>
        <v>6.267711172810473E-3</v>
      </c>
      <c r="G37" s="60">
        <v>1.676081719625286</v>
      </c>
      <c r="H37" s="44">
        <v>41703</v>
      </c>
      <c r="I37" s="42">
        <f t="shared" si="3"/>
        <v>7436</v>
      </c>
    </row>
    <row r="38" spans="1:9" ht="14.25" customHeight="1" x14ac:dyDescent="0.3">
      <c r="A38" s="40" t="s">
        <v>197</v>
      </c>
      <c r="B38" s="41" t="s">
        <v>53</v>
      </c>
      <c r="C38" s="42">
        <v>8693</v>
      </c>
      <c r="D38" s="42">
        <v>1261</v>
      </c>
      <c r="E38" s="42">
        <v>111209</v>
      </c>
      <c r="F38" s="43">
        <f t="shared" si="2"/>
        <v>6.6829123542159363E-2</v>
      </c>
      <c r="G38" s="60">
        <v>69.475492091467416</v>
      </c>
      <c r="H38" s="44">
        <v>29873</v>
      </c>
      <c r="I38" s="42">
        <f t="shared" si="3"/>
        <v>7432</v>
      </c>
    </row>
    <row r="39" spans="1:9" ht="14.25" customHeight="1" x14ac:dyDescent="0.3">
      <c r="A39" s="40" t="s">
        <v>166</v>
      </c>
      <c r="B39" s="41" t="s">
        <v>21</v>
      </c>
      <c r="C39" s="42">
        <v>8504</v>
      </c>
      <c r="D39" s="42">
        <v>1072</v>
      </c>
      <c r="E39" s="42">
        <v>973452</v>
      </c>
      <c r="F39" s="43">
        <f t="shared" si="2"/>
        <v>7.6346856342171983E-3</v>
      </c>
      <c r="G39" s="60">
        <v>6.5651927367759271</v>
      </c>
      <c r="H39" s="44">
        <v>18461</v>
      </c>
      <c r="I39" s="42">
        <f t="shared" si="3"/>
        <v>7432</v>
      </c>
    </row>
    <row r="40" spans="1:9" ht="14.25" customHeight="1" x14ac:dyDescent="0.3">
      <c r="A40" s="40" t="s">
        <v>533</v>
      </c>
      <c r="B40" s="41" t="s">
        <v>21</v>
      </c>
      <c r="C40" s="42">
        <v>8340</v>
      </c>
      <c r="D40" s="42">
        <v>911</v>
      </c>
      <c r="E40" s="42">
        <v>264494</v>
      </c>
      <c r="F40" s="43">
        <f t="shared" si="2"/>
        <v>2.8087593669421613E-2</v>
      </c>
      <c r="G40" s="60">
        <v>37.302925586213682</v>
      </c>
      <c r="H40" s="44">
        <v>48659</v>
      </c>
      <c r="I40" s="42">
        <f t="shared" si="3"/>
        <v>7429</v>
      </c>
    </row>
    <row r="41" spans="1:9" ht="14.25" customHeight="1" x14ac:dyDescent="0.3">
      <c r="A41" s="40" t="s">
        <v>542</v>
      </c>
      <c r="B41" s="41" t="s">
        <v>53</v>
      </c>
      <c r="C41" s="42">
        <v>8088</v>
      </c>
      <c r="D41" s="42">
        <v>742</v>
      </c>
      <c r="E41" s="42">
        <v>817407</v>
      </c>
      <c r="F41" s="43">
        <f t="shared" si="2"/>
        <v>8.9869550909155421E-3</v>
      </c>
      <c r="G41" s="60">
        <v>14.664542877660701</v>
      </c>
      <c r="H41" s="44">
        <v>39312</v>
      </c>
      <c r="I41" s="42">
        <f t="shared" si="3"/>
        <v>7346</v>
      </c>
    </row>
    <row r="42" spans="1:9" ht="14.25" customHeight="1" x14ac:dyDescent="0.3">
      <c r="A42" s="40" t="s">
        <v>15</v>
      </c>
      <c r="B42" s="41" t="s">
        <v>14</v>
      </c>
      <c r="C42" s="42">
        <v>8177</v>
      </c>
      <c r="D42" s="42">
        <v>849</v>
      </c>
      <c r="E42" s="42">
        <v>748744</v>
      </c>
      <c r="F42" s="43">
        <f t="shared" si="2"/>
        <v>9.7870567243276748E-3</v>
      </c>
      <c r="G42" s="60">
        <v>10.34986590877523</v>
      </c>
      <c r="H42" s="44">
        <v>52963</v>
      </c>
      <c r="I42" s="42">
        <f t="shared" si="3"/>
        <v>7328</v>
      </c>
    </row>
    <row r="43" spans="1:9" ht="14.25" customHeight="1" x14ac:dyDescent="0.3">
      <c r="A43" s="40" t="s">
        <v>190</v>
      </c>
      <c r="B43" s="41" t="s">
        <v>21</v>
      </c>
      <c r="C43" s="42">
        <v>8083</v>
      </c>
      <c r="D43" s="42">
        <v>823</v>
      </c>
      <c r="E43" s="42">
        <v>853477</v>
      </c>
      <c r="F43" s="43">
        <f t="shared" si="2"/>
        <v>8.5063803711172073E-3</v>
      </c>
      <c r="G43" s="60">
        <v>4.6300017457998282</v>
      </c>
      <c r="H43" s="44">
        <v>27069</v>
      </c>
      <c r="I43" s="42">
        <f t="shared" si="3"/>
        <v>7260</v>
      </c>
    </row>
    <row r="44" spans="1:9" ht="14.25" customHeight="1" x14ac:dyDescent="0.3">
      <c r="A44" s="40" t="s">
        <v>534</v>
      </c>
      <c r="B44" s="41" t="s">
        <v>14</v>
      </c>
      <c r="C44" s="42">
        <v>7928</v>
      </c>
      <c r="D44" s="42">
        <v>704</v>
      </c>
      <c r="E44" s="42">
        <v>445769</v>
      </c>
      <c r="F44" s="43">
        <f t="shared" si="2"/>
        <v>1.6205702953772022E-2</v>
      </c>
      <c r="G44" s="60">
        <v>11.194362999670229</v>
      </c>
      <c r="H44" s="44">
        <v>31817</v>
      </c>
      <c r="I44" s="42">
        <f t="shared" si="3"/>
        <v>7224</v>
      </c>
    </row>
    <row r="45" spans="1:9" ht="14.25" customHeight="1" x14ac:dyDescent="0.3">
      <c r="A45" s="40" t="s">
        <v>242</v>
      </c>
      <c r="B45" s="41" t="s">
        <v>53</v>
      </c>
      <c r="C45" s="42">
        <v>8380</v>
      </c>
      <c r="D45" s="42">
        <v>1162</v>
      </c>
      <c r="E45" s="42">
        <v>596704</v>
      </c>
      <c r="F45" s="43">
        <f t="shared" si="2"/>
        <v>1.2096449831072022E-2</v>
      </c>
      <c r="G45" s="60">
        <v>18.05853488496809</v>
      </c>
      <c r="H45" s="44">
        <v>40447</v>
      </c>
      <c r="I45" s="42">
        <f t="shared" si="3"/>
        <v>7218</v>
      </c>
    </row>
    <row r="46" spans="1:9" ht="14.25" customHeight="1" x14ac:dyDescent="0.3">
      <c r="A46" s="40" t="s">
        <v>210</v>
      </c>
      <c r="B46" s="41" t="s">
        <v>26</v>
      </c>
      <c r="C46" s="42">
        <v>7721</v>
      </c>
      <c r="D46" s="42">
        <v>506</v>
      </c>
      <c r="E46" s="42">
        <v>134418</v>
      </c>
      <c r="F46" s="43">
        <f t="shared" si="2"/>
        <v>5.3675846984778827E-2</v>
      </c>
      <c r="G46" s="60">
        <v>35.577824398518047</v>
      </c>
      <c r="H46" s="44">
        <v>25379</v>
      </c>
      <c r="I46" s="42">
        <f t="shared" si="3"/>
        <v>7215</v>
      </c>
    </row>
    <row r="47" spans="1:9" ht="14.25" customHeight="1" x14ac:dyDescent="0.3">
      <c r="A47" s="40" t="s">
        <v>532</v>
      </c>
      <c r="B47" s="41" t="s">
        <v>53</v>
      </c>
      <c r="C47" s="42">
        <v>8045</v>
      </c>
      <c r="D47" s="42">
        <v>894</v>
      </c>
      <c r="E47" s="42">
        <v>231802</v>
      </c>
      <c r="F47" s="43">
        <f t="shared" si="2"/>
        <v>3.084960440375838E-2</v>
      </c>
      <c r="G47" s="60">
        <v>47.634187798207087</v>
      </c>
      <c r="H47" s="44">
        <v>33705</v>
      </c>
      <c r="I47" s="42">
        <f t="shared" si="3"/>
        <v>7151</v>
      </c>
    </row>
    <row r="48" spans="1:9" ht="14.25" customHeight="1" x14ac:dyDescent="0.3">
      <c r="A48" s="40" t="s">
        <v>538</v>
      </c>
      <c r="B48" s="41" t="s">
        <v>14</v>
      </c>
      <c r="C48" s="42">
        <v>7548</v>
      </c>
      <c r="D48" s="42">
        <v>433</v>
      </c>
      <c r="E48" s="42">
        <v>522852</v>
      </c>
      <c r="F48" s="43">
        <f t="shared" si="2"/>
        <v>1.3608057347012157E-2</v>
      </c>
      <c r="G48" s="60">
        <v>8.3562843787534522</v>
      </c>
      <c r="H48" s="44">
        <v>37386</v>
      </c>
      <c r="I48" s="42">
        <f t="shared" si="3"/>
        <v>7115</v>
      </c>
    </row>
    <row r="49" spans="1:9" ht="14.25" customHeight="1" x14ac:dyDescent="0.3">
      <c r="A49" s="40" t="s">
        <v>275</v>
      </c>
      <c r="B49" s="41" t="s">
        <v>53</v>
      </c>
      <c r="C49" s="42">
        <v>8137</v>
      </c>
      <c r="D49" s="42">
        <v>1045</v>
      </c>
      <c r="E49" s="42">
        <v>253858</v>
      </c>
      <c r="F49" s="43">
        <f t="shared" si="2"/>
        <v>2.7936878097203948E-2</v>
      </c>
      <c r="G49" s="60">
        <v>20.47246886054408</v>
      </c>
      <c r="H49" s="44">
        <v>12023</v>
      </c>
      <c r="I49" s="42">
        <f t="shared" si="3"/>
        <v>7092</v>
      </c>
    </row>
    <row r="50" spans="1:9" ht="14.25" customHeight="1" x14ac:dyDescent="0.3">
      <c r="A50" s="40" t="s">
        <v>549</v>
      </c>
      <c r="B50" s="41" t="s">
        <v>53</v>
      </c>
      <c r="C50" s="42">
        <v>8128</v>
      </c>
      <c r="D50" s="42">
        <v>1070</v>
      </c>
      <c r="E50" s="42">
        <v>1131337</v>
      </c>
      <c r="F50" s="43">
        <f t="shared" si="2"/>
        <v>6.2386362330587612E-3</v>
      </c>
      <c r="G50" s="60">
        <v>8.1114645768679008</v>
      </c>
      <c r="H50" s="44">
        <v>21918</v>
      </c>
      <c r="I50" s="42">
        <f t="shared" si="3"/>
        <v>7058</v>
      </c>
    </row>
    <row r="51" spans="1:9" ht="14.25" customHeight="1" x14ac:dyDescent="0.3">
      <c r="A51" s="40" t="s">
        <v>33</v>
      </c>
      <c r="B51" s="41" t="s">
        <v>14</v>
      </c>
      <c r="C51" s="42">
        <v>7430</v>
      </c>
      <c r="D51" s="42">
        <v>397</v>
      </c>
      <c r="E51" s="42">
        <v>340085</v>
      </c>
      <c r="F51" s="43">
        <f t="shared" si="2"/>
        <v>2.0680124086625402E-2</v>
      </c>
      <c r="G51" s="60">
        <v>28.065042562888689</v>
      </c>
      <c r="H51" s="44">
        <v>16643</v>
      </c>
      <c r="I51" s="42">
        <f t="shared" si="3"/>
        <v>7033</v>
      </c>
    </row>
    <row r="52" spans="1:9" ht="14.25" customHeight="1" x14ac:dyDescent="0.3">
      <c r="A52" s="40" t="s">
        <v>27</v>
      </c>
      <c r="B52" s="41" t="s">
        <v>21</v>
      </c>
      <c r="C52" s="42">
        <v>8165</v>
      </c>
      <c r="D52" s="42">
        <v>1140</v>
      </c>
      <c r="E52" s="42">
        <v>1177841</v>
      </c>
      <c r="F52" s="43">
        <f t="shared" si="2"/>
        <v>5.9643024822535473E-3</v>
      </c>
      <c r="G52" s="60">
        <v>9.095964565675672</v>
      </c>
      <c r="H52" s="44">
        <v>38228</v>
      </c>
      <c r="I52" s="42">
        <f t="shared" si="3"/>
        <v>7025</v>
      </c>
    </row>
    <row r="53" spans="1:9" ht="14.25" customHeight="1" x14ac:dyDescent="0.3">
      <c r="A53" s="40" t="s">
        <v>72</v>
      </c>
      <c r="B53" s="41" t="s">
        <v>26</v>
      </c>
      <c r="C53" s="42">
        <v>7488</v>
      </c>
      <c r="D53" s="42">
        <v>568</v>
      </c>
      <c r="E53" s="42">
        <v>354010</v>
      </c>
      <c r="F53" s="43">
        <f t="shared" si="2"/>
        <v>1.9547470410440384E-2</v>
      </c>
      <c r="G53" s="60">
        <v>13.47730290104799</v>
      </c>
      <c r="H53" s="44">
        <v>46727</v>
      </c>
      <c r="I53" s="42">
        <f t="shared" si="3"/>
        <v>6920</v>
      </c>
    </row>
    <row r="54" spans="1:9" ht="14.25" customHeight="1" x14ac:dyDescent="0.3">
      <c r="A54" s="40" t="s">
        <v>138</v>
      </c>
      <c r="B54" s="41" t="s">
        <v>14</v>
      </c>
      <c r="C54" s="42">
        <v>7793</v>
      </c>
      <c r="D54" s="42">
        <v>875</v>
      </c>
      <c r="E54" s="42">
        <v>545824</v>
      </c>
      <c r="F54" s="43">
        <f t="shared" si="2"/>
        <v>1.267441519610717E-2</v>
      </c>
      <c r="G54" s="60">
        <v>5.5136820660139527</v>
      </c>
      <c r="H54" s="44">
        <v>43787</v>
      </c>
      <c r="I54" s="42">
        <f t="shared" si="3"/>
        <v>6918</v>
      </c>
    </row>
    <row r="55" spans="1:9" ht="14.25" customHeight="1" x14ac:dyDescent="0.3">
      <c r="A55" s="40" t="s">
        <v>33</v>
      </c>
      <c r="B55" s="41" t="s">
        <v>26</v>
      </c>
      <c r="C55" s="42">
        <v>7610</v>
      </c>
      <c r="D55" s="42">
        <v>757</v>
      </c>
      <c r="E55" s="42">
        <v>333052</v>
      </c>
      <c r="F55" s="43">
        <f t="shared" si="2"/>
        <v>2.0576366453286574E-2</v>
      </c>
      <c r="G55" s="60">
        <v>44.450416151231643</v>
      </c>
      <c r="H55" s="44">
        <v>39750</v>
      </c>
      <c r="I55" s="42">
        <f t="shared" si="3"/>
        <v>6853</v>
      </c>
    </row>
    <row r="56" spans="1:9" ht="14.25" customHeight="1" x14ac:dyDescent="0.3">
      <c r="A56" s="40" t="s">
        <v>134</v>
      </c>
      <c r="B56" s="41" t="s">
        <v>21</v>
      </c>
      <c r="C56" s="42">
        <v>7097</v>
      </c>
      <c r="D56" s="42">
        <v>369</v>
      </c>
      <c r="E56" s="42">
        <v>170518</v>
      </c>
      <c r="F56" s="43">
        <f t="shared" si="2"/>
        <v>3.9456245088495059E-2</v>
      </c>
      <c r="G56" s="60">
        <v>9.2506362964613711</v>
      </c>
      <c r="H56" s="44">
        <v>33762</v>
      </c>
      <c r="I56" s="42">
        <f t="shared" si="3"/>
        <v>6728</v>
      </c>
    </row>
    <row r="57" spans="1:9" ht="14.25" customHeight="1" x14ac:dyDescent="0.3">
      <c r="A57" s="40" t="s">
        <v>187</v>
      </c>
      <c r="B57" s="41" t="s">
        <v>53</v>
      </c>
      <c r="C57" s="42">
        <v>7164</v>
      </c>
      <c r="D57" s="42">
        <v>522</v>
      </c>
      <c r="E57" s="42">
        <v>700757</v>
      </c>
      <c r="F57" s="43">
        <f t="shared" si="2"/>
        <v>9.4783213011072308E-3</v>
      </c>
      <c r="G57" s="60">
        <v>13.449169969047761</v>
      </c>
      <c r="H57" s="44">
        <v>34570</v>
      </c>
      <c r="I57" s="42">
        <f t="shared" si="3"/>
        <v>6642</v>
      </c>
    </row>
    <row r="58" spans="1:9" ht="14.25" customHeight="1" x14ac:dyDescent="0.3">
      <c r="A58" s="40" t="s">
        <v>166</v>
      </c>
      <c r="B58" s="41" t="s">
        <v>14</v>
      </c>
      <c r="C58" s="42">
        <v>7511</v>
      </c>
      <c r="D58" s="42">
        <v>880</v>
      </c>
      <c r="E58" s="42">
        <v>966020</v>
      </c>
      <c r="F58" s="43">
        <f t="shared" si="2"/>
        <v>6.8642471170369144E-3</v>
      </c>
      <c r="G58" s="60">
        <v>4.6083932009689246</v>
      </c>
      <c r="H58" s="44">
        <v>29675</v>
      </c>
      <c r="I58" s="42">
        <f t="shared" si="3"/>
        <v>6631</v>
      </c>
    </row>
    <row r="59" spans="1:9" ht="14.25" customHeight="1" x14ac:dyDescent="0.3">
      <c r="A59" s="40" t="s">
        <v>164</v>
      </c>
      <c r="B59" s="41" t="s">
        <v>53</v>
      </c>
      <c r="C59" s="42">
        <v>7406</v>
      </c>
      <c r="D59" s="42">
        <v>813</v>
      </c>
      <c r="E59" s="42">
        <v>405141</v>
      </c>
      <c r="F59" s="43">
        <f t="shared" si="2"/>
        <v>1.6273346810122897E-2</v>
      </c>
      <c r="G59" s="60">
        <v>24.457411123534769</v>
      </c>
      <c r="H59" s="44">
        <v>13390</v>
      </c>
      <c r="I59" s="42">
        <f t="shared" si="3"/>
        <v>6593</v>
      </c>
    </row>
    <row r="60" spans="1:9" ht="14.25" customHeight="1" x14ac:dyDescent="0.3">
      <c r="A60" s="40" t="s">
        <v>169</v>
      </c>
      <c r="B60" s="41" t="s">
        <v>21</v>
      </c>
      <c r="C60" s="42">
        <v>7356</v>
      </c>
      <c r="D60" s="42">
        <v>904</v>
      </c>
      <c r="E60" s="42">
        <v>581126</v>
      </c>
      <c r="F60" s="43">
        <f t="shared" si="2"/>
        <v>1.1102583604932494E-2</v>
      </c>
      <c r="G60" s="60">
        <v>17.560907617280929</v>
      </c>
      <c r="H60" s="44">
        <v>44051</v>
      </c>
      <c r="I60" s="42">
        <f t="shared" si="3"/>
        <v>6452</v>
      </c>
    </row>
    <row r="61" spans="1:9" ht="14.25" customHeight="1" x14ac:dyDescent="0.3">
      <c r="A61" s="40" t="s">
        <v>169</v>
      </c>
      <c r="B61" s="41" t="s">
        <v>14</v>
      </c>
      <c r="C61" s="42">
        <v>7007</v>
      </c>
      <c r="D61" s="42">
        <v>568</v>
      </c>
      <c r="E61" s="42">
        <v>568671</v>
      </c>
      <c r="F61" s="43">
        <f t="shared" si="2"/>
        <v>1.1322891443382905E-2</v>
      </c>
      <c r="G61" s="60">
        <v>11.50507059442103</v>
      </c>
      <c r="H61" s="44">
        <v>22448</v>
      </c>
      <c r="I61" s="42">
        <f t="shared" si="3"/>
        <v>6439</v>
      </c>
    </row>
    <row r="62" spans="1:9" ht="14.25" customHeight="1" x14ac:dyDescent="0.3">
      <c r="A62" s="40" t="s">
        <v>364</v>
      </c>
      <c r="B62" s="41" t="s">
        <v>14</v>
      </c>
      <c r="C62" s="42">
        <v>7303</v>
      </c>
      <c r="D62" s="42">
        <v>869</v>
      </c>
      <c r="E62" s="42">
        <v>1073082</v>
      </c>
      <c r="F62" s="43">
        <f t="shared" si="2"/>
        <v>5.9958139266151145E-3</v>
      </c>
      <c r="G62" s="60">
        <v>8.1237966902808925</v>
      </c>
      <c r="H62" s="44">
        <v>27073</v>
      </c>
      <c r="I62" s="42">
        <f t="shared" si="3"/>
        <v>6434</v>
      </c>
    </row>
    <row r="63" spans="1:9" ht="14.25" customHeight="1" x14ac:dyDescent="0.3">
      <c r="A63" s="40" t="s">
        <v>62</v>
      </c>
      <c r="B63" s="41" t="s">
        <v>53</v>
      </c>
      <c r="C63" s="42">
        <v>7036</v>
      </c>
      <c r="D63" s="42">
        <v>652</v>
      </c>
      <c r="E63" s="42">
        <v>637512</v>
      </c>
      <c r="F63" s="43">
        <f t="shared" si="2"/>
        <v>1.0013929149568949E-2</v>
      </c>
      <c r="G63" s="60">
        <v>3.5705994553828009</v>
      </c>
      <c r="H63" s="44">
        <v>51796</v>
      </c>
      <c r="I63" s="42">
        <f t="shared" si="3"/>
        <v>6384</v>
      </c>
    </row>
    <row r="64" spans="1:9" ht="14.25" customHeight="1" x14ac:dyDescent="0.3">
      <c r="A64" s="40" t="s">
        <v>190</v>
      </c>
      <c r="B64" s="41" t="s">
        <v>53</v>
      </c>
      <c r="C64" s="42">
        <v>7230</v>
      </c>
      <c r="D64" s="42">
        <v>869</v>
      </c>
      <c r="E64" s="42">
        <v>859838</v>
      </c>
      <c r="F64" s="43">
        <f t="shared" si="2"/>
        <v>7.397905186791E-3</v>
      </c>
      <c r="G64" s="60">
        <v>7.0117859410726204</v>
      </c>
      <c r="H64" s="44">
        <v>56907</v>
      </c>
      <c r="I64" s="42">
        <f t="shared" si="3"/>
        <v>6361</v>
      </c>
    </row>
    <row r="65" spans="1:9" ht="14.25" customHeight="1" x14ac:dyDescent="0.3">
      <c r="A65" s="40" t="s">
        <v>97</v>
      </c>
      <c r="B65" s="41" t="s">
        <v>53</v>
      </c>
      <c r="C65" s="42">
        <v>7272</v>
      </c>
      <c r="D65" s="42">
        <v>997</v>
      </c>
      <c r="E65" s="42">
        <v>729561</v>
      </c>
      <c r="F65" s="43">
        <f t="shared" si="2"/>
        <v>8.6010628309353167E-3</v>
      </c>
      <c r="G65" s="60">
        <v>13.428486445958599</v>
      </c>
      <c r="H65" s="44">
        <v>26370</v>
      </c>
      <c r="I65" s="42">
        <f t="shared" si="3"/>
        <v>6275</v>
      </c>
    </row>
    <row r="66" spans="1:9" ht="14.25" customHeight="1" x14ac:dyDescent="0.3">
      <c r="A66" s="40" t="s">
        <v>547</v>
      </c>
      <c r="B66" s="41" t="s">
        <v>53</v>
      </c>
      <c r="C66" s="42">
        <v>6978</v>
      </c>
      <c r="D66" s="42">
        <v>706</v>
      </c>
      <c r="E66" s="42">
        <v>1057293</v>
      </c>
      <c r="F66" s="43">
        <f t="shared" ref="F66:F97" si="4">(C66-D66)/E66</f>
        <v>5.9321304501212058E-3</v>
      </c>
      <c r="G66" s="60">
        <v>5.057443868445171</v>
      </c>
      <c r="H66" s="44">
        <v>28681</v>
      </c>
      <c r="I66" s="42">
        <f t="shared" ref="I66:I97" si="5">(C66-D66)</f>
        <v>6272</v>
      </c>
    </row>
    <row r="67" spans="1:9" ht="14.25" customHeight="1" x14ac:dyDescent="0.3">
      <c r="A67" s="40" t="s">
        <v>537</v>
      </c>
      <c r="B67" s="41" t="s">
        <v>14</v>
      </c>
      <c r="C67" s="42">
        <v>7140</v>
      </c>
      <c r="D67" s="42">
        <v>939</v>
      </c>
      <c r="E67" s="42">
        <v>499015</v>
      </c>
      <c r="F67" s="43">
        <f t="shared" si="4"/>
        <v>1.2426480165926877E-2</v>
      </c>
      <c r="G67" s="60">
        <v>25.120888149654821</v>
      </c>
      <c r="H67" s="44">
        <v>43598</v>
      </c>
      <c r="I67" s="42">
        <f t="shared" si="5"/>
        <v>6201</v>
      </c>
    </row>
    <row r="68" spans="1:9" ht="14.25" customHeight="1" x14ac:dyDescent="0.3">
      <c r="A68" s="40" t="s">
        <v>547</v>
      </c>
      <c r="B68" s="41" t="s">
        <v>26</v>
      </c>
      <c r="C68" s="42">
        <v>6607</v>
      </c>
      <c r="D68" s="42">
        <v>479</v>
      </c>
      <c r="E68" s="42">
        <v>1063421</v>
      </c>
      <c r="F68" s="43">
        <f t="shared" si="4"/>
        <v>5.7625343114345116E-3</v>
      </c>
      <c r="G68" s="60">
        <v>5.5892257158735816</v>
      </c>
      <c r="H68" s="44">
        <v>48328</v>
      </c>
      <c r="I68" s="42">
        <f t="shared" si="5"/>
        <v>6128</v>
      </c>
    </row>
    <row r="69" spans="1:9" ht="14.25" customHeight="1" x14ac:dyDescent="0.3">
      <c r="A69" s="40" t="s">
        <v>76</v>
      </c>
      <c r="B69" s="41" t="s">
        <v>21</v>
      </c>
      <c r="C69" s="42">
        <v>6671</v>
      </c>
      <c r="D69" s="42">
        <v>550</v>
      </c>
      <c r="E69" s="42">
        <v>438545</v>
      </c>
      <c r="F69" s="43">
        <f t="shared" si="4"/>
        <v>1.3957518612685129E-2</v>
      </c>
      <c r="G69" s="60">
        <v>17.750287883797562</v>
      </c>
      <c r="H69" s="44">
        <v>10541</v>
      </c>
      <c r="I69" s="42">
        <f t="shared" si="5"/>
        <v>6121</v>
      </c>
    </row>
    <row r="70" spans="1:9" ht="14.25" customHeight="1" x14ac:dyDescent="0.3">
      <c r="A70" s="40" t="s">
        <v>134</v>
      </c>
      <c r="B70" s="41" t="s">
        <v>53</v>
      </c>
      <c r="C70" s="42">
        <v>6907</v>
      </c>
      <c r="D70" s="42">
        <v>834</v>
      </c>
      <c r="E70" s="42">
        <v>163790</v>
      </c>
      <c r="F70" s="43">
        <f t="shared" si="4"/>
        <v>3.7077965687770928E-2</v>
      </c>
      <c r="G70" s="60">
        <v>54.158984064961238</v>
      </c>
      <c r="H70" s="44">
        <v>22087</v>
      </c>
      <c r="I70" s="42">
        <f t="shared" si="5"/>
        <v>6073</v>
      </c>
    </row>
    <row r="71" spans="1:9" ht="14.25" customHeight="1" x14ac:dyDescent="0.3">
      <c r="A71" s="40" t="s">
        <v>230</v>
      </c>
      <c r="B71" s="41" t="s">
        <v>53</v>
      </c>
      <c r="C71" s="42">
        <v>6947</v>
      </c>
      <c r="D71" s="42">
        <v>908</v>
      </c>
      <c r="E71" s="42">
        <v>306304</v>
      </c>
      <c r="F71" s="43">
        <f t="shared" si="4"/>
        <v>1.9715707271207691E-2</v>
      </c>
      <c r="G71" s="60">
        <v>14.117673944839121</v>
      </c>
      <c r="H71" s="44">
        <v>46060</v>
      </c>
      <c r="I71" s="42">
        <f t="shared" si="5"/>
        <v>6039</v>
      </c>
    </row>
    <row r="72" spans="1:9" ht="14.25" customHeight="1" x14ac:dyDescent="0.3">
      <c r="A72" s="40" t="s">
        <v>33</v>
      </c>
      <c r="B72" s="41" t="s">
        <v>53</v>
      </c>
      <c r="C72" s="42">
        <v>6179</v>
      </c>
      <c r="D72" s="42">
        <v>384</v>
      </c>
      <c r="E72" s="42">
        <v>326199</v>
      </c>
      <c r="F72" s="43">
        <f t="shared" si="4"/>
        <v>1.7765229200580015E-2</v>
      </c>
      <c r="G72" s="60">
        <v>14.71218489327067</v>
      </c>
      <c r="H72" s="44">
        <v>33225</v>
      </c>
      <c r="I72" s="42">
        <f t="shared" si="5"/>
        <v>5795</v>
      </c>
    </row>
    <row r="73" spans="1:9" ht="14.25" customHeight="1" x14ac:dyDescent="0.3">
      <c r="A73" s="40" t="s">
        <v>67</v>
      </c>
      <c r="B73" s="41" t="s">
        <v>53</v>
      </c>
      <c r="C73" s="42">
        <v>6175</v>
      </c>
      <c r="D73" s="42">
        <v>422</v>
      </c>
      <c r="E73" s="42">
        <v>377618</v>
      </c>
      <c r="F73" s="43">
        <f t="shared" si="4"/>
        <v>1.523497290913039E-2</v>
      </c>
      <c r="G73" s="60">
        <v>37.86101298137271</v>
      </c>
      <c r="H73" s="44">
        <v>59745</v>
      </c>
      <c r="I73" s="42">
        <f t="shared" si="5"/>
        <v>5753</v>
      </c>
    </row>
    <row r="74" spans="1:9" ht="14.25" customHeight="1" x14ac:dyDescent="0.3">
      <c r="A74" s="40" t="s">
        <v>536</v>
      </c>
      <c r="B74" s="41" t="s">
        <v>53</v>
      </c>
      <c r="C74" s="42">
        <v>6693</v>
      </c>
      <c r="D74" s="42">
        <v>995</v>
      </c>
      <c r="E74" s="42">
        <v>486018</v>
      </c>
      <c r="F74" s="43">
        <f t="shared" si="4"/>
        <v>1.1723845618886543E-2</v>
      </c>
      <c r="G74" s="60">
        <v>23.761877132122681</v>
      </c>
      <c r="H74" s="44">
        <v>38854</v>
      </c>
      <c r="I74" s="42">
        <f t="shared" si="5"/>
        <v>5698</v>
      </c>
    </row>
    <row r="75" spans="1:9" ht="14.25" customHeight="1" x14ac:dyDescent="0.3">
      <c r="A75" s="40" t="s">
        <v>164</v>
      </c>
      <c r="B75" s="41" t="s">
        <v>26</v>
      </c>
      <c r="C75" s="42">
        <v>6448</v>
      </c>
      <c r="D75" s="42">
        <v>928</v>
      </c>
      <c r="E75" s="42">
        <v>396672</v>
      </c>
      <c r="F75" s="43">
        <f t="shared" si="4"/>
        <v>1.3915779283639884E-2</v>
      </c>
      <c r="G75" s="60">
        <v>30.118586640851881</v>
      </c>
      <c r="H75" s="44">
        <v>53922</v>
      </c>
      <c r="I75" s="42">
        <f t="shared" si="5"/>
        <v>5520</v>
      </c>
    </row>
    <row r="76" spans="1:9" ht="14.25" customHeight="1" x14ac:dyDescent="0.3">
      <c r="A76" s="40" t="s">
        <v>549</v>
      </c>
      <c r="B76" s="41" t="s">
        <v>26</v>
      </c>
      <c r="C76" s="42">
        <v>5941</v>
      </c>
      <c r="D76" s="42">
        <v>450</v>
      </c>
      <c r="E76" s="42">
        <v>1117854</v>
      </c>
      <c r="F76" s="43">
        <f t="shared" si="4"/>
        <v>4.9120904876665469E-3</v>
      </c>
      <c r="G76" s="60">
        <v>12.414411899944</v>
      </c>
      <c r="H76" s="44">
        <v>58330</v>
      </c>
      <c r="I76" s="42">
        <f t="shared" si="5"/>
        <v>5491</v>
      </c>
    </row>
    <row r="77" spans="1:9" ht="14.25" customHeight="1" x14ac:dyDescent="0.3">
      <c r="A77" s="40" t="s">
        <v>404</v>
      </c>
      <c r="B77" s="41" t="s">
        <v>21</v>
      </c>
      <c r="C77" s="42">
        <v>5917</v>
      </c>
      <c r="D77" s="42">
        <v>475</v>
      </c>
      <c r="E77" s="42">
        <v>210260</v>
      </c>
      <c r="F77" s="43">
        <f t="shared" si="4"/>
        <v>2.5882241034909159E-2</v>
      </c>
      <c r="G77" s="60">
        <v>17.894035955483691</v>
      </c>
      <c r="H77" s="44">
        <v>28313</v>
      </c>
      <c r="I77" s="42">
        <f t="shared" si="5"/>
        <v>5442</v>
      </c>
    </row>
    <row r="78" spans="1:9" ht="14.25" customHeight="1" x14ac:dyDescent="0.3">
      <c r="A78" s="40" t="s">
        <v>109</v>
      </c>
      <c r="B78" s="41" t="s">
        <v>26</v>
      </c>
      <c r="C78" s="42">
        <v>6330</v>
      </c>
      <c r="D78" s="42">
        <v>891</v>
      </c>
      <c r="E78" s="42">
        <v>922914</v>
      </c>
      <c r="F78" s="43">
        <f t="shared" si="4"/>
        <v>5.8932901657142486E-3</v>
      </c>
      <c r="G78" s="60">
        <v>14.789893749580139</v>
      </c>
      <c r="H78" s="44">
        <v>37037</v>
      </c>
      <c r="I78" s="42">
        <f t="shared" si="5"/>
        <v>5439</v>
      </c>
    </row>
    <row r="79" spans="1:9" ht="14.25" customHeight="1" x14ac:dyDescent="0.3">
      <c r="A79" s="40" t="s">
        <v>540</v>
      </c>
      <c r="B79" s="41" t="s">
        <v>21</v>
      </c>
      <c r="C79" s="42">
        <v>5839</v>
      </c>
      <c r="D79" s="42">
        <v>437</v>
      </c>
      <c r="E79" s="42">
        <v>682556</v>
      </c>
      <c r="F79" s="43">
        <f t="shared" si="4"/>
        <v>7.9143689309009082E-3</v>
      </c>
      <c r="G79" s="60">
        <v>17.44750613869045</v>
      </c>
      <c r="H79" s="44">
        <v>16397</v>
      </c>
      <c r="I79" s="42">
        <f t="shared" si="5"/>
        <v>5402</v>
      </c>
    </row>
    <row r="80" spans="1:9" ht="14.25" customHeight="1" x14ac:dyDescent="0.3">
      <c r="A80" s="40" t="s">
        <v>67</v>
      </c>
      <c r="B80" s="41" t="s">
        <v>14</v>
      </c>
      <c r="C80" s="42">
        <v>6078</v>
      </c>
      <c r="D80" s="42">
        <v>775</v>
      </c>
      <c r="E80" s="42">
        <v>391152</v>
      </c>
      <c r="F80" s="43">
        <f t="shared" si="4"/>
        <v>1.3557389454738823E-2</v>
      </c>
      <c r="G80" s="60">
        <v>37.760512537325639</v>
      </c>
      <c r="H80" s="44">
        <v>38731</v>
      </c>
      <c r="I80" s="42">
        <f t="shared" si="5"/>
        <v>5303</v>
      </c>
    </row>
    <row r="81" spans="1:9" ht="14.25" customHeight="1" x14ac:dyDescent="0.3">
      <c r="A81" s="40" t="s">
        <v>539</v>
      </c>
      <c r="B81" s="41" t="s">
        <v>14</v>
      </c>
      <c r="C81" s="42">
        <v>5795</v>
      </c>
      <c r="D81" s="42">
        <v>575</v>
      </c>
      <c r="E81" s="42">
        <v>625922</v>
      </c>
      <c r="F81" s="43">
        <f t="shared" si="4"/>
        <v>8.3396972785746461E-3</v>
      </c>
      <c r="G81" s="60">
        <v>3.0908004511744269</v>
      </c>
      <c r="H81" s="44">
        <v>55657</v>
      </c>
      <c r="I81" s="42">
        <f t="shared" si="5"/>
        <v>5220</v>
      </c>
    </row>
    <row r="82" spans="1:9" ht="14.25" customHeight="1" x14ac:dyDescent="0.3">
      <c r="A82" s="40" t="s">
        <v>69</v>
      </c>
      <c r="B82" s="41" t="s">
        <v>14</v>
      </c>
      <c r="C82" s="42">
        <v>5875</v>
      </c>
      <c r="D82" s="42">
        <v>665</v>
      </c>
      <c r="E82" s="42">
        <v>1157985</v>
      </c>
      <c r="F82" s="43">
        <f t="shared" si="4"/>
        <v>4.4991947218659999E-3</v>
      </c>
      <c r="G82" s="60">
        <v>6.9871371390821126</v>
      </c>
      <c r="H82" s="44">
        <v>32669</v>
      </c>
      <c r="I82" s="42">
        <f t="shared" si="5"/>
        <v>5210</v>
      </c>
    </row>
    <row r="83" spans="1:9" ht="14.25" customHeight="1" x14ac:dyDescent="0.3">
      <c r="A83" s="40" t="s">
        <v>62</v>
      </c>
      <c r="B83" s="41" t="s">
        <v>26</v>
      </c>
      <c r="C83" s="42">
        <v>5798</v>
      </c>
      <c r="D83" s="42">
        <v>592</v>
      </c>
      <c r="E83" s="42">
        <v>631128</v>
      </c>
      <c r="F83" s="43">
        <f t="shared" si="4"/>
        <v>8.2487229214992831E-3</v>
      </c>
      <c r="G83" s="60">
        <v>1.6774727155188811</v>
      </c>
      <c r="H83" s="44">
        <v>13471</v>
      </c>
      <c r="I83" s="42">
        <f t="shared" si="5"/>
        <v>5206</v>
      </c>
    </row>
    <row r="84" spans="1:9" ht="14.25" customHeight="1" x14ac:dyDescent="0.3">
      <c r="A84" s="40" t="s">
        <v>461</v>
      </c>
      <c r="B84" s="41" t="s">
        <v>14</v>
      </c>
      <c r="C84" s="42">
        <v>5719</v>
      </c>
      <c r="D84" s="42">
        <v>576</v>
      </c>
      <c r="E84" s="42">
        <v>675785</v>
      </c>
      <c r="F84" s="43">
        <f t="shared" si="4"/>
        <v>7.6104086358827145E-3</v>
      </c>
      <c r="G84" s="60">
        <v>10.21656296011305</v>
      </c>
      <c r="H84" s="44">
        <v>38272</v>
      </c>
      <c r="I84" s="42">
        <f t="shared" si="5"/>
        <v>5143</v>
      </c>
    </row>
    <row r="85" spans="1:9" ht="14.25" customHeight="1" x14ac:dyDescent="0.3">
      <c r="A85" s="40" t="s">
        <v>109</v>
      </c>
      <c r="B85" s="41" t="s">
        <v>21</v>
      </c>
      <c r="C85" s="42">
        <v>5531</v>
      </c>
      <c r="D85" s="42">
        <v>430</v>
      </c>
      <c r="E85" s="42">
        <v>917475</v>
      </c>
      <c r="F85" s="43">
        <f t="shared" si="4"/>
        <v>5.5598245183792472E-3</v>
      </c>
      <c r="G85" s="60">
        <v>2.7289026948963189</v>
      </c>
      <c r="H85" s="44">
        <v>47481</v>
      </c>
      <c r="I85" s="42">
        <f t="shared" si="5"/>
        <v>5101</v>
      </c>
    </row>
    <row r="86" spans="1:9" ht="14.25" customHeight="1" x14ac:dyDescent="0.3">
      <c r="A86" s="40" t="s">
        <v>72</v>
      </c>
      <c r="B86" s="41" t="s">
        <v>14</v>
      </c>
      <c r="C86" s="42">
        <v>5737</v>
      </c>
      <c r="D86" s="42">
        <v>666</v>
      </c>
      <c r="E86" s="42">
        <v>359081</v>
      </c>
      <c r="F86" s="43">
        <f t="shared" si="4"/>
        <v>1.4122161852061233E-2</v>
      </c>
      <c r="G86" s="60">
        <v>4.6034181702735593</v>
      </c>
      <c r="H86" s="44">
        <v>21005</v>
      </c>
      <c r="I86" s="42">
        <f t="shared" si="5"/>
        <v>5071</v>
      </c>
    </row>
    <row r="87" spans="1:9" ht="14.25" customHeight="1" x14ac:dyDescent="0.3">
      <c r="A87" s="40" t="s">
        <v>535</v>
      </c>
      <c r="B87" s="41" t="s">
        <v>53</v>
      </c>
      <c r="C87" s="42">
        <v>5517</v>
      </c>
      <c r="D87" s="42">
        <v>575</v>
      </c>
      <c r="E87" s="42">
        <v>460228</v>
      </c>
      <c r="F87" s="43">
        <f t="shared" si="4"/>
        <v>1.07381558705685E-2</v>
      </c>
      <c r="G87" s="60">
        <v>29.45844233727631</v>
      </c>
      <c r="H87" s="44">
        <v>20258</v>
      </c>
      <c r="I87" s="42">
        <f t="shared" si="5"/>
        <v>4942</v>
      </c>
    </row>
    <row r="88" spans="1:9" ht="14.25" customHeight="1" x14ac:dyDescent="0.3">
      <c r="A88" s="40" t="s">
        <v>242</v>
      </c>
      <c r="B88" s="41" t="s">
        <v>21</v>
      </c>
      <c r="C88" s="42">
        <v>5268</v>
      </c>
      <c r="D88" s="42">
        <v>326</v>
      </c>
      <c r="E88" s="42">
        <v>604702</v>
      </c>
      <c r="F88" s="43">
        <f t="shared" si="4"/>
        <v>8.1726205635172366E-3</v>
      </c>
      <c r="G88" s="60">
        <v>23.435841125050029</v>
      </c>
      <c r="H88" s="44">
        <v>44501</v>
      </c>
      <c r="I88" s="42">
        <f t="shared" si="5"/>
        <v>4942</v>
      </c>
    </row>
    <row r="89" spans="1:9" ht="14.25" customHeight="1" x14ac:dyDescent="0.3">
      <c r="A89" s="40" t="s">
        <v>210</v>
      </c>
      <c r="B89" s="41" t="s">
        <v>53</v>
      </c>
      <c r="C89" s="42">
        <v>5225</v>
      </c>
      <c r="D89" s="42">
        <v>291</v>
      </c>
      <c r="E89" s="42">
        <v>146830</v>
      </c>
      <c r="F89" s="43">
        <f t="shared" si="4"/>
        <v>3.3603487025812166E-2</v>
      </c>
      <c r="G89" s="60">
        <v>19.551862698358651</v>
      </c>
      <c r="H89" s="44">
        <v>44546</v>
      </c>
      <c r="I89" s="42">
        <f t="shared" si="5"/>
        <v>4934</v>
      </c>
    </row>
    <row r="90" spans="1:9" ht="14.25" customHeight="1" x14ac:dyDescent="0.3">
      <c r="A90" s="40" t="s">
        <v>42</v>
      </c>
      <c r="B90" s="41" t="s">
        <v>26</v>
      </c>
      <c r="C90" s="42">
        <v>5259</v>
      </c>
      <c r="D90" s="42">
        <v>374</v>
      </c>
      <c r="E90" s="42">
        <v>189735</v>
      </c>
      <c r="F90" s="43">
        <f t="shared" si="4"/>
        <v>2.5746435818378266E-2</v>
      </c>
      <c r="G90" s="60">
        <v>14.827522597306769</v>
      </c>
      <c r="H90" s="44">
        <v>19596</v>
      </c>
      <c r="I90" s="42">
        <f t="shared" si="5"/>
        <v>4885</v>
      </c>
    </row>
    <row r="91" spans="1:9" ht="14.25" customHeight="1" x14ac:dyDescent="0.3">
      <c r="A91" s="40" t="s">
        <v>539</v>
      </c>
      <c r="B91" s="41" t="s">
        <v>21</v>
      </c>
      <c r="C91" s="42">
        <v>5592</v>
      </c>
      <c r="D91" s="42">
        <v>710</v>
      </c>
      <c r="E91" s="42">
        <v>620702</v>
      </c>
      <c r="F91" s="43">
        <f t="shared" si="4"/>
        <v>7.8652880126050834E-3</v>
      </c>
      <c r="G91" s="60">
        <v>9.07118069540617</v>
      </c>
      <c r="H91" s="44">
        <v>24472</v>
      </c>
      <c r="I91" s="42">
        <f t="shared" si="5"/>
        <v>4882</v>
      </c>
    </row>
    <row r="92" spans="1:9" ht="14.25" customHeight="1" x14ac:dyDescent="0.3">
      <c r="A92" s="40" t="s">
        <v>446</v>
      </c>
      <c r="B92" s="41" t="s">
        <v>21</v>
      </c>
      <c r="C92" s="42">
        <v>5349</v>
      </c>
      <c r="D92" s="42">
        <v>502</v>
      </c>
      <c r="E92" s="42">
        <v>320404</v>
      </c>
      <c r="F92" s="43">
        <f t="shared" si="4"/>
        <v>1.5127776182569505E-2</v>
      </c>
      <c r="G92" s="60">
        <v>5.2152906954969351</v>
      </c>
      <c r="H92" s="44">
        <v>58868</v>
      </c>
      <c r="I92" s="42">
        <f t="shared" si="5"/>
        <v>4847</v>
      </c>
    </row>
    <row r="93" spans="1:9" ht="14.25" customHeight="1" x14ac:dyDescent="0.3">
      <c r="A93" s="40" t="s">
        <v>537</v>
      </c>
      <c r="B93" s="41" t="s">
        <v>26</v>
      </c>
      <c r="C93" s="42">
        <v>5481</v>
      </c>
      <c r="D93" s="42">
        <v>673</v>
      </c>
      <c r="E93" s="42">
        <v>507970</v>
      </c>
      <c r="F93" s="43">
        <f t="shared" si="4"/>
        <v>9.4651258932614123E-3</v>
      </c>
      <c r="G93" s="60">
        <v>13.08758391243577</v>
      </c>
      <c r="H93" s="44">
        <v>29194</v>
      </c>
      <c r="I93" s="42">
        <f t="shared" si="5"/>
        <v>4808</v>
      </c>
    </row>
    <row r="94" spans="1:9" ht="14.25" customHeight="1" x14ac:dyDescent="0.3">
      <c r="A94" s="40" t="s">
        <v>187</v>
      </c>
      <c r="B94" s="41" t="s">
        <v>14</v>
      </c>
      <c r="C94" s="42">
        <v>5200</v>
      </c>
      <c r="D94" s="42">
        <v>410</v>
      </c>
      <c r="E94" s="42">
        <v>709008</v>
      </c>
      <c r="F94" s="43">
        <f t="shared" si="4"/>
        <v>6.7559181278631555E-3</v>
      </c>
      <c r="G94" s="60">
        <v>12.913394489201821</v>
      </c>
      <c r="H94" s="44">
        <v>28994</v>
      </c>
      <c r="I94" s="42">
        <f t="shared" si="5"/>
        <v>4790</v>
      </c>
    </row>
    <row r="95" spans="1:9" ht="14.25" customHeight="1" x14ac:dyDescent="0.3">
      <c r="A95" s="40" t="s">
        <v>364</v>
      </c>
      <c r="B95" s="41" t="s">
        <v>21</v>
      </c>
      <c r="C95" s="42">
        <v>4983</v>
      </c>
      <c r="D95" s="42">
        <v>441</v>
      </c>
      <c r="E95" s="42">
        <v>1077624</v>
      </c>
      <c r="F95" s="43">
        <f t="shared" si="4"/>
        <v>4.2148281775461569E-3</v>
      </c>
      <c r="G95" s="60">
        <v>6.8954477628560609</v>
      </c>
      <c r="H95" s="44">
        <v>46768</v>
      </c>
      <c r="I95" s="42">
        <f t="shared" si="5"/>
        <v>4542</v>
      </c>
    </row>
    <row r="96" spans="1:9" ht="14.25" customHeight="1" x14ac:dyDescent="0.3">
      <c r="A96" s="40" t="s">
        <v>15</v>
      </c>
      <c r="B96" s="41" t="s">
        <v>26</v>
      </c>
      <c r="C96" s="42">
        <v>4631</v>
      </c>
      <c r="D96" s="42">
        <v>317</v>
      </c>
      <c r="E96" s="42">
        <v>735242</v>
      </c>
      <c r="F96" s="43">
        <f t="shared" si="4"/>
        <v>5.8674558852731479E-3</v>
      </c>
      <c r="G96" s="60">
        <v>1.381177897889402</v>
      </c>
      <c r="H96" s="44">
        <v>17999</v>
      </c>
      <c r="I96" s="42">
        <f t="shared" si="5"/>
        <v>4314</v>
      </c>
    </row>
    <row r="97" spans="1:9" ht="14.25" customHeight="1" x14ac:dyDescent="0.3">
      <c r="A97" s="40" t="s">
        <v>541</v>
      </c>
      <c r="B97" s="41" t="s">
        <v>26</v>
      </c>
      <c r="C97" s="42">
        <v>4897</v>
      </c>
      <c r="D97" s="42">
        <v>683</v>
      </c>
      <c r="E97" s="42">
        <v>761158</v>
      </c>
      <c r="F97" s="43">
        <f t="shared" si="4"/>
        <v>5.5363012672795921E-3</v>
      </c>
      <c r="G97" s="60">
        <v>15.06231294947961</v>
      </c>
      <c r="H97" s="44">
        <v>58201</v>
      </c>
      <c r="I97" s="42">
        <f t="shared" si="5"/>
        <v>4214</v>
      </c>
    </row>
    <row r="98" spans="1:9" ht="14.25" customHeight="1" x14ac:dyDescent="0.3">
      <c r="A98" s="40" t="s">
        <v>349</v>
      </c>
      <c r="B98" s="41" t="s">
        <v>14</v>
      </c>
      <c r="C98" s="42">
        <v>4747</v>
      </c>
      <c r="D98" s="42">
        <v>558</v>
      </c>
      <c r="E98" s="42">
        <v>1041686</v>
      </c>
      <c r="F98" s="43">
        <f t="shared" ref="F98:F129" si="6">(C98-D98)/E98</f>
        <v>4.021365363458854E-3</v>
      </c>
      <c r="G98" s="60">
        <v>5.7680529449373434</v>
      </c>
      <c r="H98" s="44">
        <v>12643</v>
      </c>
      <c r="I98" s="42">
        <f t="shared" ref="I98:I129" si="7">(C98-D98)</f>
        <v>4189</v>
      </c>
    </row>
    <row r="99" spans="1:9" ht="14.25" customHeight="1" x14ac:dyDescent="0.3">
      <c r="A99" s="40" t="s">
        <v>540</v>
      </c>
      <c r="B99" s="41" t="s">
        <v>14</v>
      </c>
      <c r="C99" s="42">
        <v>4493</v>
      </c>
      <c r="D99" s="42">
        <v>564</v>
      </c>
      <c r="E99" s="42">
        <v>694115</v>
      </c>
      <c r="F99" s="43">
        <f t="shared" si="6"/>
        <v>5.660445315257558E-3</v>
      </c>
      <c r="G99" s="60">
        <v>16.625487131094989</v>
      </c>
      <c r="H99" s="44">
        <v>45525</v>
      </c>
      <c r="I99" s="42">
        <f t="shared" si="7"/>
        <v>3929</v>
      </c>
    </row>
    <row r="100" spans="1:9" ht="14.25" customHeight="1" x14ac:dyDescent="0.3">
      <c r="A100" s="40" t="s">
        <v>534</v>
      </c>
      <c r="B100" s="41" t="s">
        <v>53</v>
      </c>
      <c r="C100" s="42">
        <v>4292</v>
      </c>
      <c r="D100" s="42">
        <v>367</v>
      </c>
      <c r="E100" s="42">
        <v>453977</v>
      </c>
      <c r="F100" s="43">
        <f t="shared" si="6"/>
        <v>8.6458124530537899E-3</v>
      </c>
      <c r="G100" s="60">
        <v>3.5037017293827661</v>
      </c>
      <c r="H100" s="44">
        <v>53934</v>
      </c>
      <c r="I100" s="42">
        <f t="shared" si="7"/>
        <v>3925</v>
      </c>
    </row>
    <row r="101" spans="1:9" ht="14.25" customHeight="1" x14ac:dyDescent="0.3">
      <c r="A101" s="40" t="s">
        <v>544</v>
      </c>
      <c r="B101" s="41" t="s">
        <v>14</v>
      </c>
      <c r="C101" s="42">
        <v>4456</v>
      </c>
      <c r="D101" s="42">
        <v>651</v>
      </c>
      <c r="E101" s="42">
        <v>872714</v>
      </c>
      <c r="F101" s="43">
        <f t="shared" si="6"/>
        <v>4.3599621410908961E-3</v>
      </c>
      <c r="G101" s="60">
        <v>9.5052903929580594</v>
      </c>
      <c r="H101" s="44">
        <v>17736</v>
      </c>
      <c r="I101" s="42">
        <f t="shared" si="7"/>
        <v>3805</v>
      </c>
    </row>
    <row r="102" spans="1:9" ht="14.25" customHeight="1" x14ac:dyDescent="0.3">
      <c r="A102" s="40" t="s">
        <v>197</v>
      </c>
      <c r="B102" s="41" t="s">
        <v>26</v>
      </c>
      <c r="C102" s="42">
        <v>4138</v>
      </c>
      <c r="D102" s="42">
        <v>361</v>
      </c>
      <c r="E102" s="42">
        <v>103777</v>
      </c>
      <c r="F102" s="43">
        <f t="shared" si="6"/>
        <v>3.6395347716738774E-2</v>
      </c>
      <c r="G102" s="60">
        <v>56.637790647253247</v>
      </c>
      <c r="H102" s="44">
        <v>23944</v>
      </c>
      <c r="I102" s="42">
        <f t="shared" si="7"/>
        <v>3777</v>
      </c>
    </row>
    <row r="103" spans="1:9" ht="14.25" customHeight="1" x14ac:dyDescent="0.3">
      <c r="A103" s="40" t="s">
        <v>190</v>
      </c>
      <c r="B103" s="41" t="s">
        <v>26</v>
      </c>
      <c r="C103" s="42">
        <v>4271</v>
      </c>
      <c r="D103" s="42">
        <v>628</v>
      </c>
      <c r="E103" s="42">
        <v>868909</v>
      </c>
      <c r="F103" s="43">
        <f t="shared" si="6"/>
        <v>4.1926139561219876E-3</v>
      </c>
      <c r="G103" s="60">
        <v>11.124410036033691</v>
      </c>
      <c r="H103" s="44">
        <v>47051</v>
      </c>
      <c r="I103" s="42">
        <f t="shared" si="7"/>
        <v>3643</v>
      </c>
    </row>
    <row r="104" spans="1:9" ht="14.25" customHeight="1" x14ac:dyDescent="0.3">
      <c r="A104" s="40" t="s">
        <v>97</v>
      </c>
      <c r="B104" s="41" t="s">
        <v>26</v>
      </c>
      <c r="C104" s="42">
        <v>4191</v>
      </c>
      <c r="D104" s="42">
        <v>599</v>
      </c>
      <c r="E104" s="42">
        <v>713549</v>
      </c>
      <c r="F104" s="43">
        <f t="shared" si="6"/>
        <v>5.033992059410076E-3</v>
      </c>
      <c r="G104" s="60">
        <v>11.56416728213479</v>
      </c>
      <c r="H104" s="44">
        <v>27833</v>
      </c>
      <c r="I104" s="42">
        <f t="shared" si="7"/>
        <v>3592</v>
      </c>
    </row>
    <row r="105" spans="1:9" ht="14.25" customHeight="1" x14ac:dyDescent="0.3">
      <c r="A105" s="40" t="s">
        <v>275</v>
      </c>
      <c r="B105" s="41" t="s">
        <v>26</v>
      </c>
      <c r="C105" s="42">
        <v>3964</v>
      </c>
      <c r="D105" s="42">
        <v>378</v>
      </c>
      <c r="E105" s="42">
        <v>246766</v>
      </c>
      <c r="F105" s="43">
        <f t="shared" si="6"/>
        <v>1.453198576789347E-2</v>
      </c>
      <c r="G105" s="60">
        <v>13.6355899921383</v>
      </c>
      <c r="H105" s="44">
        <v>23109</v>
      </c>
      <c r="I105" s="42">
        <f t="shared" si="7"/>
        <v>3586</v>
      </c>
    </row>
    <row r="106" spans="1:9" ht="14.25" customHeight="1" x14ac:dyDescent="0.3">
      <c r="A106" s="40" t="s">
        <v>545</v>
      </c>
      <c r="B106" s="41" t="s">
        <v>14</v>
      </c>
      <c r="C106" s="42">
        <v>4009</v>
      </c>
      <c r="D106" s="42">
        <v>454</v>
      </c>
      <c r="E106" s="42">
        <v>995050</v>
      </c>
      <c r="F106" s="43">
        <f t="shared" si="6"/>
        <v>3.5726847897090599E-3</v>
      </c>
      <c r="G106" s="60">
        <v>2.1106477061454201</v>
      </c>
      <c r="H106" s="44">
        <v>19833</v>
      </c>
      <c r="I106" s="42">
        <f t="shared" si="7"/>
        <v>3555</v>
      </c>
    </row>
    <row r="107" spans="1:9" ht="14.25" customHeight="1" x14ac:dyDescent="0.3">
      <c r="A107" s="40" t="s">
        <v>446</v>
      </c>
      <c r="B107" s="41" t="s">
        <v>53</v>
      </c>
      <c r="C107" s="42">
        <v>3719</v>
      </c>
      <c r="D107" s="42">
        <v>222</v>
      </c>
      <c r="E107" s="42">
        <v>313014</v>
      </c>
      <c r="F107" s="43">
        <f t="shared" si="6"/>
        <v>1.1172024254506188E-2</v>
      </c>
      <c r="G107" s="60">
        <v>21.669318305251519</v>
      </c>
      <c r="H107" s="44">
        <v>13586</v>
      </c>
      <c r="I107" s="42">
        <f t="shared" si="7"/>
        <v>3497</v>
      </c>
    </row>
    <row r="108" spans="1:9" ht="14.25" customHeight="1" x14ac:dyDescent="0.3">
      <c r="A108" s="40" t="s">
        <v>187</v>
      </c>
      <c r="B108" s="41" t="s">
        <v>26</v>
      </c>
      <c r="C108" s="42">
        <v>3672</v>
      </c>
      <c r="D108" s="42">
        <v>211</v>
      </c>
      <c r="E108" s="42">
        <v>704218</v>
      </c>
      <c r="F108" s="43">
        <f t="shared" si="6"/>
        <v>4.9146713091684675E-3</v>
      </c>
      <c r="G108" s="60">
        <v>12.35057894004413</v>
      </c>
      <c r="H108" s="44">
        <v>28284</v>
      </c>
      <c r="I108" s="42">
        <f t="shared" si="7"/>
        <v>3461</v>
      </c>
    </row>
    <row r="109" spans="1:9" ht="14.25" customHeight="1" x14ac:dyDescent="0.3">
      <c r="A109" s="40" t="s">
        <v>230</v>
      </c>
      <c r="B109" s="41" t="s">
        <v>14</v>
      </c>
      <c r="C109" s="42">
        <v>4036</v>
      </c>
      <c r="D109" s="42">
        <v>591</v>
      </c>
      <c r="E109" s="42">
        <v>300265</v>
      </c>
      <c r="F109" s="43">
        <f t="shared" si="6"/>
        <v>1.1473198674504187E-2</v>
      </c>
      <c r="G109" s="60">
        <v>44.219272975538267</v>
      </c>
      <c r="H109" s="44">
        <v>12563</v>
      </c>
      <c r="I109" s="42">
        <f t="shared" si="7"/>
        <v>3445</v>
      </c>
    </row>
    <row r="110" spans="1:9" ht="14.25" customHeight="1" x14ac:dyDescent="0.3">
      <c r="A110" s="40" t="s">
        <v>448</v>
      </c>
      <c r="B110" s="41" t="s">
        <v>21</v>
      </c>
      <c r="C110" s="42">
        <v>3711</v>
      </c>
      <c r="D110" s="42">
        <v>291</v>
      </c>
      <c r="E110" s="42">
        <v>900862</v>
      </c>
      <c r="F110" s="43">
        <f t="shared" si="6"/>
        <v>3.7963639269943676E-3</v>
      </c>
      <c r="G110" s="60">
        <v>14.24879726306582</v>
      </c>
      <c r="H110" s="44">
        <v>55603</v>
      </c>
      <c r="I110" s="42">
        <f t="shared" si="7"/>
        <v>3420</v>
      </c>
    </row>
    <row r="111" spans="1:9" ht="14.25" customHeight="1" x14ac:dyDescent="0.3">
      <c r="A111" s="40" t="s">
        <v>446</v>
      </c>
      <c r="B111" s="41" t="s">
        <v>26</v>
      </c>
      <c r="C111" s="42">
        <v>3494</v>
      </c>
      <c r="D111" s="42">
        <v>281</v>
      </c>
      <c r="E111" s="42">
        <v>309517</v>
      </c>
      <c r="F111" s="43">
        <f t="shared" si="6"/>
        <v>1.0380689913639638E-2</v>
      </c>
      <c r="G111" s="60">
        <v>27.765518533715429</v>
      </c>
      <c r="H111" s="44">
        <v>39197</v>
      </c>
      <c r="I111" s="42">
        <f t="shared" si="7"/>
        <v>3213</v>
      </c>
    </row>
    <row r="112" spans="1:9" ht="14.25" customHeight="1" x14ac:dyDescent="0.3">
      <c r="A112" s="40" t="s">
        <v>404</v>
      </c>
      <c r="B112" s="41" t="s">
        <v>26</v>
      </c>
      <c r="C112" s="42">
        <v>3530</v>
      </c>
      <c r="D112" s="42">
        <v>328</v>
      </c>
      <c r="E112" s="42">
        <v>221925</v>
      </c>
      <c r="F112" s="43">
        <f t="shared" si="6"/>
        <v>1.4428297848372199E-2</v>
      </c>
      <c r="G112" s="60">
        <v>12.8372197814577</v>
      </c>
      <c r="H112" s="44">
        <v>11013</v>
      </c>
      <c r="I112" s="42">
        <f t="shared" si="7"/>
        <v>3202</v>
      </c>
    </row>
    <row r="113" spans="1:9" ht="14.25" customHeight="1" x14ac:dyDescent="0.3">
      <c r="A113" s="40" t="s">
        <v>62</v>
      </c>
      <c r="B113" s="41" t="s">
        <v>21</v>
      </c>
      <c r="C113" s="42">
        <v>3355</v>
      </c>
      <c r="D113" s="42">
        <v>176</v>
      </c>
      <c r="E113" s="42">
        <v>640691</v>
      </c>
      <c r="F113" s="43">
        <f t="shared" si="6"/>
        <v>4.9618302738761748E-3</v>
      </c>
      <c r="G113" s="60">
        <v>12.426427091999111</v>
      </c>
      <c r="H113" s="44">
        <v>40268</v>
      </c>
      <c r="I113" s="42">
        <f t="shared" si="7"/>
        <v>3179</v>
      </c>
    </row>
    <row r="114" spans="1:9" ht="14.25" customHeight="1" x14ac:dyDescent="0.3">
      <c r="A114" s="40" t="s">
        <v>541</v>
      </c>
      <c r="B114" s="41" t="s">
        <v>53</v>
      </c>
      <c r="C114" s="42">
        <v>3279</v>
      </c>
      <c r="D114" s="42">
        <v>200</v>
      </c>
      <c r="E114" s="42">
        <v>772614</v>
      </c>
      <c r="F114" s="43">
        <f t="shared" si="6"/>
        <v>3.9851724146857288E-3</v>
      </c>
      <c r="G114" s="60">
        <v>5.0212654702089274</v>
      </c>
      <c r="H114" s="44">
        <v>53363</v>
      </c>
      <c r="I114" s="42">
        <f t="shared" si="7"/>
        <v>3079</v>
      </c>
    </row>
    <row r="115" spans="1:9" ht="14.25" customHeight="1" x14ac:dyDescent="0.3">
      <c r="A115" s="40" t="s">
        <v>242</v>
      </c>
      <c r="B115" s="41" t="s">
        <v>14</v>
      </c>
      <c r="C115" s="42">
        <v>3385</v>
      </c>
      <c r="D115" s="42">
        <v>329</v>
      </c>
      <c r="E115" s="42">
        <v>599760</v>
      </c>
      <c r="F115" s="43">
        <f t="shared" si="6"/>
        <v>5.0953714819261036E-3</v>
      </c>
      <c r="G115" s="60">
        <v>17.61788048552755</v>
      </c>
      <c r="H115" s="44">
        <v>28394</v>
      </c>
      <c r="I115" s="42">
        <f t="shared" si="7"/>
        <v>3056</v>
      </c>
    </row>
    <row r="116" spans="1:9" ht="14.25" customHeight="1" x14ac:dyDescent="0.3">
      <c r="A116" s="40" t="s">
        <v>545</v>
      </c>
      <c r="B116" s="41" t="s">
        <v>26</v>
      </c>
      <c r="C116" s="42">
        <v>3376</v>
      </c>
      <c r="D116" s="42">
        <v>382</v>
      </c>
      <c r="E116" s="42">
        <v>991495</v>
      </c>
      <c r="F116" s="43">
        <f t="shared" si="6"/>
        <v>3.0196823988018094E-3</v>
      </c>
      <c r="G116" s="60">
        <v>3.8694093263203548</v>
      </c>
      <c r="H116" s="44">
        <v>44782</v>
      </c>
      <c r="I116" s="42">
        <f t="shared" si="7"/>
        <v>2994</v>
      </c>
    </row>
    <row r="117" spans="1:9" ht="14.25" customHeight="1" x14ac:dyDescent="0.3">
      <c r="A117" s="40" t="s">
        <v>322</v>
      </c>
      <c r="B117" s="41" t="s">
        <v>53</v>
      </c>
      <c r="C117" s="42">
        <v>3160</v>
      </c>
      <c r="D117" s="42">
        <v>234</v>
      </c>
      <c r="E117" s="42">
        <v>1138871</v>
      </c>
      <c r="F117" s="43">
        <f t="shared" si="6"/>
        <v>2.5692110871204906E-3</v>
      </c>
      <c r="G117" s="60">
        <v>5.6959041015180816</v>
      </c>
      <c r="H117" s="44">
        <v>21929</v>
      </c>
      <c r="I117" s="42">
        <f t="shared" si="7"/>
        <v>2926</v>
      </c>
    </row>
    <row r="118" spans="1:9" ht="14.25" customHeight="1" x14ac:dyDescent="0.3">
      <c r="A118" s="40" t="s">
        <v>542</v>
      </c>
      <c r="B118" s="41" t="s">
        <v>26</v>
      </c>
      <c r="C118" s="42">
        <v>3247</v>
      </c>
      <c r="D118" s="42">
        <v>328</v>
      </c>
      <c r="E118" s="42">
        <v>810061</v>
      </c>
      <c r="F118" s="43">
        <f t="shared" si="6"/>
        <v>3.6034323341081723E-3</v>
      </c>
      <c r="G118" s="60">
        <v>13.941172331466399</v>
      </c>
      <c r="H118" s="44">
        <v>15105</v>
      </c>
      <c r="I118" s="42">
        <f t="shared" si="7"/>
        <v>2919</v>
      </c>
    </row>
    <row r="119" spans="1:9" ht="14.25" customHeight="1" x14ac:dyDescent="0.3">
      <c r="A119" s="40" t="s">
        <v>27</v>
      </c>
      <c r="B119" s="41" t="s">
        <v>26</v>
      </c>
      <c r="C119" s="42">
        <v>3196</v>
      </c>
      <c r="D119" s="42">
        <v>391</v>
      </c>
      <c r="E119" s="42">
        <v>1170816</v>
      </c>
      <c r="F119" s="43">
        <f t="shared" si="6"/>
        <v>2.3957650049196456E-3</v>
      </c>
      <c r="G119" s="60">
        <v>7.2439221876024931</v>
      </c>
      <c r="H119" s="44">
        <v>28745</v>
      </c>
      <c r="I119" s="42">
        <f t="shared" si="7"/>
        <v>2805</v>
      </c>
    </row>
    <row r="120" spans="1:9" ht="14.25" customHeight="1" x14ac:dyDescent="0.3">
      <c r="A120" s="40" t="s">
        <v>446</v>
      </c>
      <c r="B120" s="41" t="s">
        <v>14</v>
      </c>
      <c r="C120" s="42">
        <v>2884</v>
      </c>
      <c r="D120" s="42">
        <v>341</v>
      </c>
      <c r="E120" s="42">
        <v>315557</v>
      </c>
      <c r="F120" s="43">
        <f t="shared" si="6"/>
        <v>8.058765928184131E-3</v>
      </c>
      <c r="G120" s="60">
        <v>46.999749649033298</v>
      </c>
      <c r="H120" s="44">
        <v>26087</v>
      </c>
      <c r="I120" s="42">
        <f t="shared" si="7"/>
        <v>2543</v>
      </c>
    </row>
    <row r="121" spans="1:9" ht="14.25" customHeight="1" x14ac:dyDescent="0.3">
      <c r="A121" s="40" t="s">
        <v>545</v>
      </c>
      <c r="B121" s="41" t="s">
        <v>21</v>
      </c>
      <c r="C121" s="42">
        <v>2827</v>
      </c>
      <c r="D121" s="42">
        <v>292</v>
      </c>
      <c r="E121" s="42">
        <v>997585</v>
      </c>
      <c r="F121" s="43">
        <f t="shared" si="6"/>
        <v>2.5411368454818384E-3</v>
      </c>
      <c r="G121" s="60">
        <v>2.4004972007397871</v>
      </c>
      <c r="H121" s="44">
        <v>17896</v>
      </c>
      <c r="I121" s="42">
        <f t="shared" si="7"/>
        <v>2535</v>
      </c>
    </row>
    <row r="122" spans="1:9" ht="14.25" customHeight="1" x14ac:dyDescent="0.3">
      <c r="A122" s="40" t="s">
        <v>537</v>
      </c>
      <c r="B122" s="41" t="s">
        <v>21</v>
      </c>
      <c r="C122" s="42">
        <v>2549</v>
      </c>
      <c r="D122" s="42">
        <v>128</v>
      </c>
      <c r="E122" s="42">
        <v>492814</v>
      </c>
      <c r="F122" s="43">
        <f t="shared" si="6"/>
        <v>4.9126039438814641E-3</v>
      </c>
      <c r="G122" s="60">
        <v>12.734216154573531</v>
      </c>
      <c r="H122" s="44">
        <v>43937</v>
      </c>
      <c r="I122" s="42">
        <f t="shared" si="7"/>
        <v>2421</v>
      </c>
    </row>
    <row r="123" spans="1:9" ht="14.25" customHeight="1" x14ac:dyDescent="0.3">
      <c r="A123" s="40" t="s">
        <v>534</v>
      </c>
      <c r="B123" s="41" t="s">
        <v>21</v>
      </c>
      <c r="C123" s="42">
        <v>2382</v>
      </c>
      <c r="D123" s="42">
        <v>183</v>
      </c>
      <c r="E123" s="42">
        <v>447968</v>
      </c>
      <c r="F123" s="43">
        <f t="shared" si="6"/>
        <v>4.9088327737695546E-3</v>
      </c>
      <c r="G123" s="60">
        <v>4.7335970426459033</v>
      </c>
      <c r="H123" s="44">
        <v>47861</v>
      </c>
      <c r="I123" s="42">
        <f t="shared" si="7"/>
        <v>2199</v>
      </c>
    </row>
    <row r="124" spans="1:9" ht="14.25" customHeight="1" x14ac:dyDescent="0.3">
      <c r="A124" s="40" t="s">
        <v>166</v>
      </c>
      <c r="B124" s="41" t="s">
        <v>53</v>
      </c>
      <c r="C124" s="42">
        <v>2246</v>
      </c>
      <c r="D124" s="42">
        <v>165</v>
      </c>
      <c r="E124" s="42">
        <v>975533</v>
      </c>
      <c r="F124" s="43">
        <f t="shared" si="6"/>
        <v>2.1331928289458173E-3</v>
      </c>
      <c r="G124" s="60">
        <v>2.9062061457685191</v>
      </c>
      <c r="H124" s="44">
        <v>27015</v>
      </c>
      <c r="I124" s="42">
        <f t="shared" si="7"/>
        <v>2081</v>
      </c>
    </row>
    <row r="125" spans="1:9" ht="14.25" customHeight="1" x14ac:dyDescent="0.3">
      <c r="A125" s="40" t="s">
        <v>532</v>
      </c>
      <c r="B125" s="41" t="s">
        <v>21</v>
      </c>
      <c r="C125" s="42">
        <v>2048</v>
      </c>
      <c r="D125" s="42">
        <v>130</v>
      </c>
      <c r="E125" s="42">
        <v>233720</v>
      </c>
      <c r="F125" s="43">
        <f t="shared" si="6"/>
        <v>8.2064008214958063E-3</v>
      </c>
      <c r="G125" s="60">
        <v>39.284614068115687</v>
      </c>
      <c r="H125" s="44">
        <v>11828</v>
      </c>
      <c r="I125" s="42">
        <f t="shared" si="7"/>
        <v>1918</v>
      </c>
    </row>
    <row r="126" spans="1:9" ht="14.25" customHeight="1" x14ac:dyDescent="0.3">
      <c r="A126" s="40" t="s">
        <v>275</v>
      </c>
      <c r="B126" s="41" t="s">
        <v>14</v>
      </c>
      <c r="C126" s="42">
        <v>1963</v>
      </c>
      <c r="D126" s="42">
        <v>137</v>
      </c>
      <c r="E126" s="42">
        <v>255684</v>
      </c>
      <c r="F126" s="43">
        <f t="shared" si="6"/>
        <v>7.1416279469970747E-3</v>
      </c>
      <c r="G126" s="60">
        <v>11.2083665774941</v>
      </c>
      <c r="H126" s="44">
        <v>24537</v>
      </c>
      <c r="I126" s="42">
        <f t="shared" si="7"/>
        <v>1826</v>
      </c>
    </row>
    <row r="127" spans="1:9" ht="14.25" customHeight="1" x14ac:dyDescent="0.3">
      <c r="A127" s="40" t="s">
        <v>230</v>
      </c>
      <c r="B127" s="41" t="s">
        <v>21</v>
      </c>
      <c r="C127" s="42">
        <v>1845</v>
      </c>
      <c r="D127" s="42">
        <v>104</v>
      </c>
      <c r="E127" s="42">
        <v>291024</v>
      </c>
      <c r="F127" s="43">
        <f t="shared" si="6"/>
        <v>5.9823244818296775E-3</v>
      </c>
      <c r="G127" s="60">
        <v>28.158158777282971</v>
      </c>
      <c r="H127" s="44">
        <v>37766</v>
      </c>
      <c r="I127" s="42">
        <f t="shared" si="7"/>
        <v>1741</v>
      </c>
    </row>
    <row r="128" spans="1:9" ht="14.25" customHeight="1" x14ac:dyDescent="0.3">
      <c r="A128" s="40" t="s">
        <v>547</v>
      </c>
      <c r="B128" s="41" t="s">
        <v>21</v>
      </c>
      <c r="C128" s="42">
        <v>1780</v>
      </c>
      <c r="D128" s="42">
        <v>120</v>
      </c>
      <c r="E128" s="42">
        <v>1066648</v>
      </c>
      <c r="F128" s="43">
        <f t="shared" si="6"/>
        <v>1.55627723485161E-3</v>
      </c>
      <c r="G128" s="60">
        <v>13.86474263299608</v>
      </c>
      <c r="H128" s="44">
        <v>57299</v>
      </c>
      <c r="I128" s="42">
        <f t="shared" si="7"/>
        <v>1660</v>
      </c>
    </row>
    <row r="129" spans="1:9" ht="14.25" customHeight="1" x14ac:dyDescent="0.3">
      <c r="A129" s="40" t="s">
        <v>547</v>
      </c>
      <c r="B129" s="41" t="s">
        <v>14</v>
      </c>
      <c r="C129" s="42">
        <v>1769</v>
      </c>
      <c r="D129" s="42">
        <v>202</v>
      </c>
      <c r="E129" s="42">
        <v>1064988</v>
      </c>
      <c r="F129" s="43">
        <f t="shared" si="6"/>
        <v>1.4713780812553757E-3</v>
      </c>
      <c r="G129" s="60">
        <v>6.5457075572682513</v>
      </c>
      <c r="H129" s="44">
        <v>25892</v>
      </c>
      <c r="I129" s="42">
        <f t="shared" si="7"/>
        <v>1567</v>
      </c>
    </row>
    <row r="130" spans="1:9" ht="14.25" customHeight="1" x14ac:dyDescent="0.3">
      <c r="A130" s="40" t="s">
        <v>67</v>
      </c>
      <c r="B130" s="41" t="s">
        <v>21</v>
      </c>
      <c r="C130" s="42">
        <v>1689</v>
      </c>
      <c r="D130" s="42">
        <v>176</v>
      </c>
      <c r="E130" s="42">
        <v>371865</v>
      </c>
      <c r="F130" s="43">
        <f t="shared" ref="F130:F141" si="8">(C130-D130)/E130</f>
        <v>4.068680838476329E-3</v>
      </c>
      <c r="G130" s="60">
        <v>38.012181840183942</v>
      </c>
      <c r="H130" s="44">
        <v>26029</v>
      </c>
      <c r="I130" s="42">
        <f t="shared" ref="I130:I141" si="9">(C130-D130)</f>
        <v>1513</v>
      </c>
    </row>
    <row r="131" spans="1:9" ht="14.25" customHeight="1" x14ac:dyDescent="0.3">
      <c r="A131" s="40" t="s">
        <v>322</v>
      </c>
      <c r="B131" s="41" t="s">
        <v>21</v>
      </c>
      <c r="C131" s="42">
        <v>1685</v>
      </c>
      <c r="D131" s="42">
        <v>173</v>
      </c>
      <c r="E131" s="42">
        <v>1135945</v>
      </c>
      <c r="F131" s="43">
        <f t="shared" si="8"/>
        <v>1.331050358952238E-3</v>
      </c>
      <c r="G131" s="60">
        <v>8.7776256772995165</v>
      </c>
      <c r="H131" s="44">
        <v>49110</v>
      </c>
      <c r="I131" s="42">
        <f t="shared" si="9"/>
        <v>1512</v>
      </c>
    </row>
    <row r="132" spans="1:9" ht="14.25" customHeight="1" x14ac:dyDescent="0.3">
      <c r="A132" s="40" t="s">
        <v>364</v>
      </c>
      <c r="B132" s="41" t="s">
        <v>26</v>
      </c>
      <c r="C132" s="42">
        <v>1521</v>
      </c>
      <c r="D132" s="42">
        <v>96</v>
      </c>
      <c r="E132" s="42">
        <v>1087368</v>
      </c>
      <c r="F132" s="43">
        <f t="shared" si="8"/>
        <v>1.3105038956452645E-3</v>
      </c>
      <c r="G132" s="60">
        <v>12.709772588488899</v>
      </c>
      <c r="H132" s="44">
        <v>42262</v>
      </c>
      <c r="I132" s="42">
        <f t="shared" si="9"/>
        <v>1425</v>
      </c>
    </row>
    <row r="133" spans="1:9" ht="14.25" customHeight="1" x14ac:dyDescent="0.3">
      <c r="A133" s="40" t="s">
        <v>540</v>
      </c>
      <c r="B133" s="41" t="s">
        <v>26</v>
      </c>
      <c r="C133" s="42">
        <v>1593</v>
      </c>
      <c r="D133" s="42">
        <v>224</v>
      </c>
      <c r="E133" s="42">
        <v>677154</v>
      </c>
      <c r="F133" s="43">
        <f t="shared" si="8"/>
        <v>2.0216966893793729E-3</v>
      </c>
      <c r="G133" s="60">
        <v>4.1495730660972248</v>
      </c>
      <c r="H133" s="44">
        <v>52845</v>
      </c>
      <c r="I133" s="42">
        <f t="shared" si="9"/>
        <v>1369</v>
      </c>
    </row>
    <row r="134" spans="1:9" ht="14.25" customHeight="1" x14ac:dyDescent="0.3">
      <c r="A134" s="40" t="s">
        <v>15</v>
      </c>
      <c r="B134" s="41" t="s">
        <v>21</v>
      </c>
      <c r="C134" s="42">
        <v>1571</v>
      </c>
      <c r="D134" s="42">
        <v>204</v>
      </c>
      <c r="E134" s="42">
        <v>730928</v>
      </c>
      <c r="F134" s="43">
        <f t="shared" si="8"/>
        <v>1.8702252479040344E-3</v>
      </c>
      <c r="G134" s="60">
        <v>19.449384891535139</v>
      </c>
      <c r="H134" s="44">
        <v>39252</v>
      </c>
      <c r="I134" s="42">
        <f t="shared" si="9"/>
        <v>1367</v>
      </c>
    </row>
    <row r="135" spans="1:9" ht="14.25" customHeight="1" x14ac:dyDescent="0.3">
      <c r="A135" s="40" t="s">
        <v>535</v>
      </c>
      <c r="B135" s="41" t="s">
        <v>26</v>
      </c>
      <c r="C135" s="42">
        <v>1419</v>
      </c>
      <c r="D135" s="42">
        <v>110</v>
      </c>
      <c r="E135" s="42">
        <v>455286</v>
      </c>
      <c r="F135" s="43">
        <f t="shared" si="8"/>
        <v>2.8751158612388694E-3</v>
      </c>
      <c r="G135" s="60">
        <v>31.554451487636339</v>
      </c>
      <c r="H135" s="44">
        <v>58831</v>
      </c>
      <c r="I135" s="42">
        <f t="shared" si="9"/>
        <v>1309</v>
      </c>
    </row>
    <row r="136" spans="1:9" ht="14.25" customHeight="1" x14ac:dyDescent="0.3">
      <c r="A136" s="40" t="s">
        <v>109</v>
      </c>
      <c r="B136" s="41" t="s">
        <v>53</v>
      </c>
      <c r="C136" s="42">
        <v>1365</v>
      </c>
      <c r="D136" s="42">
        <v>75</v>
      </c>
      <c r="E136" s="42">
        <v>912374</v>
      </c>
      <c r="F136" s="43">
        <f t="shared" si="8"/>
        <v>1.4138938637006315E-3</v>
      </c>
      <c r="G136" s="60">
        <v>9.2688963078737441</v>
      </c>
      <c r="H136" s="44">
        <v>19067</v>
      </c>
      <c r="I136" s="42">
        <f t="shared" si="9"/>
        <v>1290</v>
      </c>
    </row>
    <row r="137" spans="1:9" ht="14.25" customHeight="1" x14ac:dyDescent="0.3">
      <c r="A137" s="40" t="s">
        <v>448</v>
      </c>
      <c r="B137" s="41" t="s">
        <v>53</v>
      </c>
      <c r="C137" s="42">
        <v>1147</v>
      </c>
      <c r="D137" s="42">
        <v>127</v>
      </c>
      <c r="E137" s="42">
        <v>904407</v>
      </c>
      <c r="F137" s="43">
        <f t="shared" si="8"/>
        <v>1.1278108196862695E-3</v>
      </c>
      <c r="G137" s="60">
        <v>1.3997016829812241</v>
      </c>
      <c r="H137" s="44">
        <v>25261</v>
      </c>
      <c r="I137" s="42">
        <f t="shared" si="9"/>
        <v>1020</v>
      </c>
    </row>
    <row r="138" spans="1:9" ht="14.25" customHeight="1" x14ac:dyDescent="0.3">
      <c r="A138" s="40" t="s">
        <v>539</v>
      </c>
      <c r="B138" s="41" t="s">
        <v>53</v>
      </c>
      <c r="C138" s="42">
        <v>1163</v>
      </c>
      <c r="D138" s="42">
        <v>146</v>
      </c>
      <c r="E138" s="42">
        <v>607188</v>
      </c>
      <c r="F138" s="43">
        <f t="shared" si="8"/>
        <v>1.6749342872388782E-3</v>
      </c>
      <c r="G138" s="60">
        <v>21.77776899411715</v>
      </c>
      <c r="H138" s="44">
        <v>28509</v>
      </c>
      <c r="I138" s="42">
        <f t="shared" si="9"/>
        <v>1017</v>
      </c>
    </row>
    <row r="139" spans="1:9" ht="14.25" customHeight="1" x14ac:dyDescent="0.3">
      <c r="A139" s="40" t="s">
        <v>542</v>
      </c>
      <c r="B139" s="41" t="s">
        <v>14</v>
      </c>
      <c r="C139" s="42">
        <v>1078</v>
      </c>
      <c r="D139" s="42">
        <v>77</v>
      </c>
      <c r="E139" s="42">
        <v>818408</v>
      </c>
      <c r="F139" s="43">
        <f t="shared" si="8"/>
        <v>1.2231063234963489E-3</v>
      </c>
      <c r="G139" s="60">
        <v>18.236747441373989</v>
      </c>
      <c r="H139" s="44">
        <v>12839</v>
      </c>
      <c r="I139" s="42">
        <f t="shared" si="9"/>
        <v>1001</v>
      </c>
    </row>
    <row r="140" spans="1:9" ht="14.25" customHeight="1" x14ac:dyDescent="0.3">
      <c r="A140" s="40" t="s">
        <v>187</v>
      </c>
      <c r="B140" s="41" t="s">
        <v>21</v>
      </c>
      <c r="C140" s="42">
        <v>1016</v>
      </c>
      <c r="D140" s="42">
        <v>67</v>
      </c>
      <c r="E140" s="42">
        <v>709957</v>
      </c>
      <c r="F140" s="43">
        <f t="shared" si="8"/>
        <v>1.3367006734210664E-3</v>
      </c>
      <c r="G140" s="60">
        <v>20.774215903216671</v>
      </c>
      <c r="H140" s="44">
        <v>33284</v>
      </c>
      <c r="I140" s="42">
        <f t="shared" si="9"/>
        <v>949</v>
      </c>
    </row>
    <row r="141" spans="1:9" ht="14.25" customHeight="1" x14ac:dyDescent="0.3">
      <c r="A141" s="40" t="s">
        <v>69</v>
      </c>
      <c r="B141" s="41" t="s">
        <v>21</v>
      </c>
      <c r="C141" s="42">
        <v>1038</v>
      </c>
      <c r="D141" s="42">
        <v>145</v>
      </c>
      <c r="E141" s="42">
        <v>1152775</v>
      </c>
      <c r="F141" s="43">
        <f t="shared" si="8"/>
        <v>7.7465246904209403E-4</v>
      </c>
      <c r="G141" s="60">
        <v>11.093752033137431</v>
      </c>
      <c r="H141" s="44">
        <v>55951</v>
      </c>
      <c r="I141" s="42">
        <f t="shared" si="9"/>
        <v>893</v>
      </c>
    </row>
    <row r="142" spans="1:9" ht="14.25" customHeight="1" x14ac:dyDescent="0.3">
      <c r="A142" s="45"/>
      <c r="I142" s="60"/>
    </row>
    <row r="143" spans="1:9" ht="14.25" customHeight="1" x14ac:dyDescent="0.3">
      <c r="I143" s="60"/>
    </row>
    <row r="144" spans="1:9" ht="14.25" customHeight="1" x14ac:dyDescent="0.3">
      <c r="I144" s="60"/>
    </row>
    <row r="145" spans="9:9" ht="14.25" customHeight="1" x14ac:dyDescent="0.3">
      <c r="I145" s="60"/>
    </row>
    <row r="146" spans="9:9" ht="14.25" customHeight="1" x14ac:dyDescent="0.3">
      <c r="I146" s="60"/>
    </row>
    <row r="147" spans="9:9" ht="14.25" customHeight="1" x14ac:dyDescent="0.3">
      <c r="I147" s="60"/>
    </row>
    <row r="148" spans="9:9" ht="14.25" customHeight="1" x14ac:dyDescent="0.3">
      <c r="I148" s="60"/>
    </row>
    <row r="149" spans="9:9" ht="14.25" customHeight="1" x14ac:dyDescent="0.3">
      <c r="I149" s="60"/>
    </row>
    <row r="150" spans="9:9" ht="14.25" customHeight="1" x14ac:dyDescent="0.3">
      <c r="I150" s="60"/>
    </row>
    <row r="151" spans="9:9" ht="14.25" customHeight="1" x14ac:dyDescent="0.3">
      <c r="I151" s="60"/>
    </row>
    <row r="152" spans="9:9" ht="14.25" customHeight="1" x14ac:dyDescent="0.3">
      <c r="I152" s="60"/>
    </row>
    <row r="153" spans="9:9" ht="14.25" customHeight="1" x14ac:dyDescent="0.3">
      <c r="I153" s="60"/>
    </row>
    <row r="154" spans="9:9" ht="14.25" customHeight="1" x14ac:dyDescent="0.3">
      <c r="I154" s="60"/>
    </row>
    <row r="155" spans="9:9" ht="14.25" customHeight="1" x14ac:dyDescent="0.3">
      <c r="I155" s="60"/>
    </row>
    <row r="156" spans="9:9" ht="14.25" customHeight="1" x14ac:dyDescent="0.3">
      <c r="I156" s="60"/>
    </row>
    <row r="157" spans="9:9" ht="14.25" customHeight="1" x14ac:dyDescent="0.3">
      <c r="I157" s="60"/>
    </row>
    <row r="158" spans="9:9" ht="14.25" customHeight="1" x14ac:dyDescent="0.3">
      <c r="I158" s="60"/>
    </row>
    <row r="159" spans="9:9" ht="14.25" customHeight="1" x14ac:dyDescent="0.3">
      <c r="I159" s="60"/>
    </row>
    <row r="160" spans="9:9" ht="14.25" customHeight="1" x14ac:dyDescent="0.3">
      <c r="I160" s="60"/>
    </row>
    <row r="161" spans="9:9" ht="14.25" customHeight="1" x14ac:dyDescent="0.3">
      <c r="I161" s="60"/>
    </row>
    <row r="162" spans="9:9" ht="14.25" customHeight="1" x14ac:dyDescent="0.3">
      <c r="I162" s="60"/>
    </row>
    <row r="163" spans="9:9" ht="14.25" customHeight="1" x14ac:dyDescent="0.3">
      <c r="I163" s="60"/>
    </row>
    <row r="164" spans="9:9" ht="14.25" customHeight="1" x14ac:dyDescent="0.3">
      <c r="I164" s="60"/>
    </row>
    <row r="165" spans="9:9" ht="14.25" customHeight="1" x14ac:dyDescent="0.3">
      <c r="I165" s="60"/>
    </row>
    <row r="166" spans="9:9" ht="14.25" customHeight="1" x14ac:dyDescent="0.3">
      <c r="I166" s="60"/>
    </row>
    <row r="167" spans="9:9" ht="14.25" customHeight="1" x14ac:dyDescent="0.3">
      <c r="I167" s="60"/>
    </row>
    <row r="168" spans="9:9" ht="14.25" customHeight="1" x14ac:dyDescent="0.3">
      <c r="I168" s="60"/>
    </row>
    <row r="169" spans="9:9" ht="14.25" customHeight="1" x14ac:dyDescent="0.3">
      <c r="I169" s="60"/>
    </row>
    <row r="170" spans="9:9" ht="14.25" customHeight="1" x14ac:dyDescent="0.3">
      <c r="I170" s="60"/>
    </row>
    <row r="171" spans="9:9" ht="14.25" customHeight="1" x14ac:dyDescent="0.3">
      <c r="I171" s="60"/>
    </row>
    <row r="172" spans="9:9" ht="14.25" customHeight="1" x14ac:dyDescent="0.3">
      <c r="I172" s="60"/>
    </row>
    <row r="173" spans="9:9" ht="14.25" customHeight="1" x14ac:dyDescent="0.3">
      <c r="I173" s="60"/>
    </row>
    <row r="174" spans="9:9" ht="14.25" customHeight="1" x14ac:dyDescent="0.3">
      <c r="I174" s="60"/>
    </row>
    <row r="175" spans="9:9" ht="14.25" customHeight="1" x14ac:dyDescent="0.3">
      <c r="I175" s="60"/>
    </row>
    <row r="176" spans="9:9" ht="14.25" customHeight="1" x14ac:dyDescent="0.3">
      <c r="I176" s="60"/>
    </row>
    <row r="177" spans="9:9" ht="14.25" customHeight="1" x14ac:dyDescent="0.3">
      <c r="I177" s="60"/>
    </row>
    <row r="178" spans="9:9" ht="14.25" customHeight="1" x14ac:dyDescent="0.3">
      <c r="I178" s="60"/>
    </row>
    <row r="179" spans="9:9" ht="14.25" customHeight="1" x14ac:dyDescent="0.3">
      <c r="I179" s="60"/>
    </row>
    <row r="180" spans="9:9" ht="14.25" customHeight="1" x14ac:dyDescent="0.3">
      <c r="I180" s="60"/>
    </row>
    <row r="181" spans="9:9" ht="14.25" customHeight="1" x14ac:dyDescent="0.3">
      <c r="I181" s="60"/>
    </row>
    <row r="182" spans="9:9" ht="14.25" customHeight="1" x14ac:dyDescent="0.3">
      <c r="I182" s="60"/>
    </row>
    <row r="183" spans="9:9" ht="14.25" customHeight="1" x14ac:dyDescent="0.3">
      <c r="I183" s="60"/>
    </row>
    <row r="184" spans="9:9" ht="14.25" customHeight="1" x14ac:dyDescent="0.3">
      <c r="I184" s="60"/>
    </row>
    <row r="185" spans="9:9" ht="14.25" customHeight="1" x14ac:dyDescent="0.3">
      <c r="I185" s="60"/>
    </row>
    <row r="186" spans="9:9" ht="14.25" customHeight="1" x14ac:dyDescent="0.3">
      <c r="I186" s="60"/>
    </row>
    <row r="187" spans="9:9" ht="14.25" customHeight="1" x14ac:dyDescent="0.3">
      <c r="I187" s="60"/>
    </row>
    <row r="188" spans="9:9" ht="14.25" customHeight="1" x14ac:dyDescent="0.3">
      <c r="I188" s="60"/>
    </row>
    <row r="189" spans="9:9" ht="14.25" customHeight="1" x14ac:dyDescent="0.3">
      <c r="I189" s="60"/>
    </row>
    <row r="190" spans="9:9" ht="14.25" customHeight="1" x14ac:dyDescent="0.3">
      <c r="I190" s="60"/>
    </row>
    <row r="191" spans="9:9" ht="14.25" customHeight="1" x14ac:dyDescent="0.3">
      <c r="I191" s="60"/>
    </row>
    <row r="192" spans="9:9" ht="14.25" customHeight="1" x14ac:dyDescent="0.3">
      <c r="I192" s="60"/>
    </row>
    <row r="193" spans="9:9" ht="14.25" customHeight="1" x14ac:dyDescent="0.3">
      <c r="I193" s="60"/>
    </row>
    <row r="194" spans="9:9" ht="14.25" customHeight="1" x14ac:dyDescent="0.3">
      <c r="I194" s="60"/>
    </row>
    <row r="195" spans="9:9" ht="14.25" customHeight="1" x14ac:dyDescent="0.3">
      <c r="I195" s="60"/>
    </row>
    <row r="196" spans="9:9" ht="14.25" customHeight="1" x14ac:dyDescent="0.3">
      <c r="I196" s="60"/>
    </row>
    <row r="197" spans="9:9" ht="14.25" customHeight="1" x14ac:dyDescent="0.3">
      <c r="I197" s="60"/>
    </row>
    <row r="198" spans="9:9" ht="14.25" customHeight="1" x14ac:dyDescent="0.3">
      <c r="I198" s="60"/>
    </row>
    <row r="199" spans="9:9" ht="14.25" customHeight="1" x14ac:dyDescent="0.3">
      <c r="I199" s="60"/>
    </row>
    <row r="200" spans="9:9" ht="14.25" customHeight="1" x14ac:dyDescent="0.3">
      <c r="I200" s="60"/>
    </row>
    <row r="201" spans="9:9" ht="14.25" customHeight="1" x14ac:dyDescent="0.3">
      <c r="I201" s="60"/>
    </row>
    <row r="202" spans="9:9" ht="14.25" customHeight="1" x14ac:dyDescent="0.3"/>
    <row r="203" spans="9:9" ht="14.25" customHeight="1" x14ac:dyDescent="0.3"/>
    <row r="204" spans="9:9" ht="14.25" customHeight="1" x14ac:dyDescent="0.3"/>
    <row r="205" spans="9:9" ht="14.25" customHeight="1" x14ac:dyDescent="0.3"/>
    <row r="206" spans="9:9" ht="14.25" customHeight="1" x14ac:dyDescent="0.3"/>
    <row r="207" spans="9:9" ht="14.25" customHeight="1" x14ac:dyDescent="0.3"/>
    <row r="208" spans="9:9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" xr:uid="{09A3B017-8AAC-4B21-8CFF-3E5CF973B272}">
    <sortState xmlns:xlrd2="http://schemas.microsoft.com/office/spreadsheetml/2017/richdata2" ref="A2:I141">
      <sortCondition descending="1" ref="I1"/>
    </sortState>
  </autoFilter>
  <mergeCells count="1">
    <mergeCell ref="K5:K14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09526-7FC9-4CA3-B912-9FCD8D99D7CD}">
  <dimension ref="A1:Y1000"/>
  <sheetViews>
    <sheetView topLeftCell="J1" zoomScale="86" workbookViewId="0">
      <selection activeCell="Y27" sqref="Y27"/>
    </sheetView>
  </sheetViews>
  <sheetFormatPr defaultColWidth="14.44140625" defaultRowHeight="14.4" x14ac:dyDescent="0.3"/>
  <cols>
    <col min="1" max="1" width="30.33203125" style="23" customWidth="1"/>
    <col min="2" max="2" width="19.44140625" style="23" customWidth="1"/>
    <col min="3" max="3" width="25.88671875" style="23" customWidth="1"/>
    <col min="4" max="4" width="16.88671875" style="23" customWidth="1"/>
    <col min="5" max="6" width="23.33203125" style="23" customWidth="1"/>
    <col min="7" max="7" width="21.5546875" style="23" customWidth="1"/>
    <col min="8" max="8" width="24.5546875" style="23" customWidth="1"/>
    <col min="9" max="9" width="38.5546875" style="23" customWidth="1"/>
    <col min="10" max="10" width="30" style="23" customWidth="1"/>
    <col min="11" max="24" width="8.6640625" style="23" customWidth="1"/>
    <col min="25" max="25" width="69.77734375" style="23" customWidth="1"/>
    <col min="26" max="27" width="8.6640625" style="23" customWidth="1"/>
    <col min="28" max="16384" width="14.44140625" style="23"/>
  </cols>
  <sheetData>
    <row r="1" spans="1:25" ht="14.25" customHeight="1" x14ac:dyDescent="0.3">
      <c r="A1" s="35" t="s">
        <v>526</v>
      </c>
      <c r="B1" s="36" t="s">
        <v>1</v>
      </c>
      <c r="C1" s="37" t="s">
        <v>527</v>
      </c>
      <c r="D1" s="37" t="s">
        <v>528</v>
      </c>
      <c r="E1" s="37" t="s">
        <v>529</v>
      </c>
      <c r="F1" s="38" t="s">
        <v>551</v>
      </c>
      <c r="G1" s="59" t="s">
        <v>530</v>
      </c>
      <c r="H1" s="39" t="s">
        <v>531</v>
      </c>
      <c r="I1" s="55" t="s">
        <v>587</v>
      </c>
      <c r="J1" s="55" t="s">
        <v>589</v>
      </c>
    </row>
    <row r="2" spans="1:25" ht="14.25" customHeight="1" x14ac:dyDescent="0.3">
      <c r="A2" s="40" t="s">
        <v>197</v>
      </c>
      <c r="B2" s="41" t="s">
        <v>26</v>
      </c>
      <c r="C2" s="42">
        <v>4138</v>
      </c>
      <c r="D2" s="42">
        <v>361</v>
      </c>
      <c r="E2" s="42">
        <v>103777</v>
      </c>
      <c r="F2" s="43">
        <f t="shared" ref="F2:F33" si="0">(C2-D2)/E2</f>
        <v>3.6395347716738774E-2</v>
      </c>
      <c r="G2" s="60">
        <v>56.637790647253247</v>
      </c>
      <c r="H2" s="44">
        <v>23944</v>
      </c>
      <c r="I2" s="42">
        <f t="shared" ref="I2:I33" si="1">(C2-D2)</f>
        <v>3777</v>
      </c>
    </row>
    <row r="3" spans="1:25" ht="14.25" customHeight="1" x14ac:dyDescent="0.3">
      <c r="A3" s="40" t="s">
        <v>210</v>
      </c>
      <c r="B3" s="41" t="s">
        <v>26</v>
      </c>
      <c r="C3" s="42">
        <v>7721</v>
      </c>
      <c r="D3" s="42">
        <v>506</v>
      </c>
      <c r="E3" s="42">
        <v>134418</v>
      </c>
      <c r="F3" s="43">
        <f t="shared" si="0"/>
        <v>5.3675846984778827E-2</v>
      </c>
      <c r="G3" s="60">
        <v>35.577824398518047</v>
      </c>
      <c r="H3" s="44">
        <v>25379</v>
      </c>
      <c r="I3" s="42">
        <f t="shared" si="1"/>
        <v>7215</v>
      </c>
    </row>
    <row r="4" spans="1:25" ht="14.25" customHeight="1" x14ac:dyDescent="0.3">
      <c r="A4" s="40" t="s">
        <v>134</v>
      </c>
      <c r="B4" s="41" t="s">
        <v>26</v>
      </c>
      <c r="C4" s="42">
        <v>8373</v>
      </c>
      <c r="D4" s="42">
        <v>921</v>
      </c>
      <c r="E4" s="42">
        <v>157717</v>
      </c>
      <c r="F4" s="43">
        <f t="shared" si="0"/>
        <v>4.7249186834646864E-2</v>
      </c>
      <c r="G4" s="60">
        <v>12.2263294381709</v>
      </c>
      <c r="H4" s="44">
        <v>15110</v>
      </c>
      <c r="I4" s="42">
        <f t="shared" si="1"/>
        <v>7452</v>
      </c>
      <c r="J4" s="64">
        <f>AVERAGE(I2:I4)</f>
        <v>6148</v>
      </c>
    </row>
    <row r="5" spans="1:25" ht="14.25" customHeight="1" x14ac:dyDescent="0.3">
      <c r="A5" s="40" t="s">
        <v>42</v>
      </c>
      <c r="B5" s="41" t="s">
        <v>26</v>
      </c>
      <c r="C5" s="42">
        <v>5259</v>
      </c>
      <c r="D5" s="42">
        <v>374</v>
      </c>
      <c r="E5" s="42">
        <v>189735</v>
      </c>
      <c r="F5" s="43">
        <f t="shared" si="0"/>
        <v>2.5746435818378266E-2</v>
      </c>
      <c r="G5" s="60">
        <v>14.827522597306769</v>
      </c>
      <c r="H5" s="44">
        <v>19596</v>
      </c>
      <c r="I5" s="42">
        <f t="shared" si="1"/>
        <v>4885</v>
      </c>
      <c r="J5" s="64">
        <f t="shared" ref="J5:J35" si="2">AVERAGE(I3:I5)</f>
        <v>6517.333333333333</v>
      </c>
    </row>
    <row r="6" spans="1:25" ht="14.25" customHeight="1" x14ac:dyDescent="0.3">
      <c r="A6" s="40" t="s">
        <v>404</v>
      </c>
      <c r="B6" s="41" t="s">
        <v>26</v>
      </c>
      <c r="C6" s="42">
        <v>3530</v>
      </c>
      <c r="D6" s="42">
        <v>328</v>
      </c>
      <c r="E6" s="42">
        <v>221925</v>
      </c>
      <c r="F6" s="43">
        <f t="shared" si="0"/>
        <v>1.4428297848372199E-2</v>
      </c>
      <c r="G6" s="60">
        <v>12.8372197814577</v>
      </c>
      <c r="H6" s="44">
        <v>11013</v>
      </c>
      <c r="I6" s="42">
        <f t="shared" si="1"/>
        <v>3202</v>
      </c>
      <c r="J6" s="64">
        <f t="shared" si="2"/>
        <v>5179.666666666667</v>
      </c>
    </row>
    <row r="7" spans="1:25" ht="14.25" customHeight="1" x14ac:dyDescent="0.3">
      <c r="A7" s="40" t="s">
        <v>275</v>
      </c>
      <c r="B7" s="41" t="s">
        <v>26</v>
      </c>
      <c r="C7" s="42">
        <v>3964</v>
      </c>
      <c r="D7" s="42">
        <v>378</v>
      </c>
      <c r="E7" s="42">
        <v>246766</v>
      </c>
      <c r="F7" s="43">
        <f t="shared" si="0"/>
        <v>1.453198576789347E-2</v>
      </c>
      <c r="G7" s="60">
        <v>13.6355899921383</v>
      </c>
      <c r="H7" s="44">
        <v>23109</v>
      </c>
      <c r="I7" s="42">
        <f t="shared" si="1"/>
        <v>3586</v>
      </c>
      <c r="J7" s="64">
        <f t="shared" si="2"/>
        <v>3891</v>
      </c>
    </row>
    <row r="8" spans="1:25" ht="14.25" customHeight="1" x14ac:dyDescent="0.3">
      <c r="A8" s="40" t="s">
        <v>446</v>
      </c>
      <c r="B8" s="41" t="s">
        <v>26</v>
      </c>
      <c r="C8" s="42">
        <v>3494</v>
      </c>
      <c r="D8" s="42">
        <v>281</v>
      </c>
      <c r="E8" s="42">
        <v>309517</v>
      </c>
      <c r="F8" s="43">
        <f t="shared" si="0"/>
        <v>1.0380689913639638E-2</v>
      </c>
      <c r="G8" s="60">
        <v>27.765518533715429</v>
      </c>
      <c r="H8" s="44">
        <v>39197</v>
      </c>
      <c r="I8" s="42">
        <f t="shared" si="1"/>
        <v>3213</v>
      </c>
      <c r="J8" s="64">
        <f t="shared" si="2"/>
        <v>3333.6666666666665</v>
      </c>
    </row>
    <row r="9" spans="1:25" ht="14.25" customHeight="1" x14ac:dyDescent="0.3">
      <c r="A9" s="40" t="s">
        <v>33</v>
      </c>
      <c r="B9" s="41" t="s">
        <v>26</v>
      </c>
      <c r="C9" s="42">
        <v>7610</v>
      </c>
      <c r="D9" s="42">
        <v>757</v>
      </c>
      <c r="E9" s="42">
        <v>333052</v>
      </c>
      <c r="F9" s="43">
        <f t="shared" si="0"/>
        <v>2.0576366453286574E-2</v>
      </c>
      <c r="G9" s="60">
        <v>44.450416151231643</v>
      </c>
      <c r="H9" s="44">
        <v>39750</v>
      </c>
      <c r="I9" s="42">
        <f t="shared" si="1"/>
        <v>6853</v>
      </c>
      <c r="J9" s="64">
        <f t="shared" si="2"/>
        <v>4550.666666666667</v>
      </c>
    </row>
    <row r="10" spans="1:25" ht="14.25" customHeight="1" x14ac:dyDescent="0.3">
      <c r="A10" s="40" t="s">
        <v>72</v>
      </c>
      <c r="B10" s="41" t="s">
        <v>26</v>
      </c>
      <c r="C10" s="42">
        <v>7488</v>
      </c>
      <c r="D10" s="42">
        <v>568</v>
      </c>
      <c r="E10" s="42">
        <v>354010</v>
      </c>
      <c r="F10" s="43">
        <f t="shared" si="0"/>
        <v>1.9547470410440384E-2</v>
      </c>
      <c r="G10" s="60">
        <v>13.47730290104799</v>
      </c>
      <c r="H10" s="44">
        <v>46727</v>
      </c>
      <c r="I10" s="42">
        <f t="shared" si="1"/>
        <v>6920</v>
      </c>
      <c r="J10" s="64">
        <f t="shared" si="2"/>
        <v>5662</v>
      </c>
      <c r="Y10" s="65"/>
    </row>
    <row r="11" spans="1:25" ht="14.25" customHeight="1" x14ac:dyDescent="0.3">
      <c r="A11" s="40" t="s">
        <v>67</v>
      </c>
      <c r="B11" s="41" t="s">
        <v>26</v>
      </c>
      <c r="C11" s="42">
        <v>9648</v>
      </c>
      <c r="D11" s="42">
        <v>1417</v>
      </c>
      <c r="E11" s="42">
        <v>385849</v>
      </c>
      <c r="F11" s="43">
        <f t="shared" si="0"/>
        <v>2.1332179168534842E-2</v>
      </c>
      <c r="G11" s="60">
        <v>3.6633501706626168</v>
      </c>
      <c r="H11" s="44">
        <v>24226</v>
      </c>
      <c r="I11" s="42">
        <f t="shared" si="1"/>
        <v>8231</v>
      </c>
      <c r="J11" s="64">
        <f t="shared" si="2"/>
        <v>7334.666666666667</v>
      </c>
      <c r="K11" s="22"/>
      <c r="Y11" s="65"/>
    </row>
    <row r="12" spans="1:25" ht="14.25" customHeight="1" x14ac:dyDescent="0.3">
      <c r="A12" s="40" t="s">
        <v>164</v>
      </c>
      <c r="B12" s="41" t="s">
        <v>26</v>
      </c>
      <c r="C12" s="42">
        <v>6448</v>
      </c>
      <c r="D12" s="42">
        <v>928</v>
      </c>
      <c r="E12" s="42">
        <v>396672</v>
      </c>
      <c r="F12" s="43">
        <f t="shared" si="0"/>
        <v>1.3915779283639884E-2</v>
      </c>
      <c r="G12" s="60">
        <v>30.118586640851881</v>
      </c>
      <c r="H12" s="44">
        <v>53922</v>
      </c>
      <c r="I12" s="42">
        <f t="shared" si="1"/>
        <v>5520</v>
      </c>
      <c r="J12" s="64">
        <f t="shared" si="2"/>
        <v>6890.333333333333</v>
      </c>
      <c r="Y12" s="65"/>
    </row>
    <row r="13" spans="1:25" ht="14.25" customHeight="1" x14ac:dyDescent="0.3">
      <c r="A13" s="40" t="s">
        <v>76</v>
      </c>
      <c r="B13" s="41" t="s">
        <v>26</v>
      </c>
      <c r="C13" s="42">
        <v>7907</v>
      </c>
      <c r="D13" s="42">
        <v>465</v>
      </c>
      <c r="E13" s="42">
        <v>420811</v>
      </c>
      <c r="F13" s="43">
        <f t="shared" si="0"/>
        <v>1.76848989213685E-2</v>
      </c>
      <c r="G13" s="60">
        <v>33.257448118038738</v>
      </c>
      <c r="H13" s="44">
        <v>22693</v>
      </c>
      <c r="I13" s="42">
        <f t="shared" si="1"/>
        <v>7442</v>
      </c>
      <c r="J13" s="64">
        <f t="shared" si="2"/>
        <v>7064.333333333333</v>
      </c>
      <c r="Y13" s="65"/>
    </row>
    <row r="14" spans="1:25" ht="14.25" customHeight="1" x14ac:dyDescent="0.3">
      <c r="A14" s="40" t="s">
        <v>535</v>
      </c>
      <c r="B14" s="41" t="s">
        <v>26</v>
      </c>
      <c r="C14" s="42">
        <v>1419</v>
      </c>
      <c r="D14" s="42">
        <v>110</v>
      </c>
      <c r="E14" s="42">
        <v>455286</v>
      </c>
      <c r="F14" s="43">
        <f t="shared" si="0"/>
        <v>2.8751158612388694E-3</v>
      </c>
      <c r="G14" s="60">
        <v>31.554451487636339</v>
      </c>
      <c r="H14" s="44">
        <v>58831</v>
      </c>
      <c r="I14" s="42">
        <f t="shared" si="1"/>
        <v>1309</v>
      </c>
      <c r="J14" s="64">
        <f t="shared" si="2"/>
        <v>4757</v>
      </c>
      <c r="Y14" s="65"/>
    </row>
    <row r="15" spans="1:25" ht="14.25" customHeight="1" x14ac:dyDescent="0.3">
      <c r="A15" s="40" t="s">
        <v>536</v>
      </c>
      <c r="B15" s="41" t="s">
        <v>26</v>
      </c>
      <c r="C15" s="42">
        <v>8870</v>
      </c>
      <c r="D15" s="42">
        <v>509</v>
      </c>
      <c r="E15" s="42">
        <v>480320</v>
      </c>
      <c r="F15" s="43">
        <f t="shared" si="0"/>
        <v>1.7407145236508995E-2</v>
      </c>
      <c r="G15" s="60">
        <v>25.077864756828781</v>
      </c>
      <c r="H15" s="44">
        <v>15469</v>
      </c>
      <c r="I15" s="42">
        <f t="shared" si="1"/>
        <v>8361</v>
      </c>
      <c r="J15" s="64">
        <f t="shared" si="2"/>
        <v>5704</v>
      </c>
      <c r="Y15" s="65"/>
    </row>
    <row r="16" spans="1:25" ht="14.25" customHeight="1" x14ac:dyDescent="0.3">
      <c r="A16" s="40" t="s">
        <v>537</v>
      </c>
      <c r="B16" s="41" t="s">
        <v>26</v>
      </c>
      <c r="C16" s="42">
        <v>5481</v>
      </c>
      <c r="D16" s="42">
        <v>673</v>
      </c>
      <c r="E16" s="42">
        <v>507970</v>
      </c>
      <c r="F16" s="43">
        <f t="shared" si="0"/>
        <v>9.4651258932614123E-3</v>
      </c>
      <c r="G16" s="60">
        <v>13.08758391243577</v>
      </c>
      <c r="H16" s="44">
        <v>29194</v>
      </c>
      <c r="I16" s="42">
        <f t="shared" si="1"/>
        <v>4808</v>
      </c>
      <c r="J16" s="64">
        <f t="shared" si="2"/>
        <v>4826</v>
      </c>
      <c r="Y16" s="65"/>
    </row>
    <row r="17" spans="1:25" ht="14.25" customHeight="1" x14ac:dyDescent="0.3">
      <c r="A17" s="40" t="s">
        <v>138</v>
      </c>
      <c r="B17" s="41" t="s">
        <v>26</v>
      </c>
      <c r="C17" s="42">
        <v>8758</v>
      </c>
      <c r="D17" s="42">
        <v>1193</v>
      </c>
      <c r="E17" s="42">
        <v>538906</v>
      </c>
      <c r="F17" s="43">
        <f t="shared" si="0"/>
        <v>1.4037698596786824E-2</v>
      </c>
      <c r="G17" s="60">
        <v>3.4213758985797149</v>
      </c>
      <c r="H17" s="44">
        <v>26184</v>
      </c>
      <c r="I17" s="42">
        <f t="shared" si="1"/>
        <v>7565</v>
      </c>
      <c r="J17" s="64">
        <f t="shared" si="2"/>
        <v>6911.333333333333</v>
      </c>
      <c r="Y17" s="65"/>
    </row>
    <row r="18" spans="1:25" ht="14.25" customHeight="1" x14ac:dyDescent="0.3">
      <c r="A18" s="40" t="s">
        <v>62</v>
      </c>
      <c r="B18" s="41" t="s">
        <v>26</v>
      </c>
      <c r="C18" s="42">
        <v>5798</v>
      </c>
      <c r="D18" s="42">
        <v>592</v>
      </c>
      <c r="E18" s="42">
        <v>631128</v>
      </c>
      <c r="F18" s="43">
        <f t="shared" si="0"/>
        <v>8.2487229214992831E-3</v>
      </c>
      <c r="G18" s="60">
        <v>1.6774727155188811</v>
      </c>
      <c r="H18" s="44">
        <v>13471</v>
      </c>
      <c r="I18" s="42">
        <f t="shared" si="1"/>
        <v>5206</v>
      </c>
      <c r="J18" s="64">
        <f t="shared" si="2"/>
        <v>5859.666666666667</v>
      </c>
      <c r="Y18" s="65"/>
    </row>
    <row r="19" spans="1:25" ht="14.25" customHeight="1" x14ac:dyDescent="0.3">
      <c r="A19" s="40" t="s">
        <v>461</v>
      </c>
      <c r="B19" s="41" t="s">
        <v>26</v>
      </c>
      <c r="C19" s="42">
        <v>8961</v>
      </c>
      <c r="D19" s="42">
        <v>476</v>
      </c>
      <c r="E19" s="42">
        <v>655645</v>
      </c>
      <c r="F19" s="43">
        <f t="shared" si="0"/>
        <v>1.2941454598143812E-2</v>
      </c>
      <c r="G19" s="60">
        <v>15.458517947974901</v>
      </c>
      <c r="H19" s="44">
        <v>44865</v>
      </c>
      <c r="I19" s="42">
        <f t="shared" si="1"/>
        <v>8485</v>
      </c>
      <c r="J19" s="64">
        <f t="shared" si="2"/>
        <v>7085.333333333333</v>
      </c>
      <c r="Y19" s="65"/>
    </row>
    <row r="20" spans="1:25" ht="14.25" customHeight="1" x14ac:dyDescent="0.3">
      <c r="A20" s="40" t="s">
        <v>540</v>
      </c>
      <c r="B20" s="41" t="s">
        <v>26</v>
      </c>
      <c r="C20" s="42">
        <v>1593</v>
      </c>
      <c r="D20" s="42">
        <v>224</v>
      </c>
      <c r="E20" s="42">
        <v>677154</v>
      </c>
      <c r="F20" s="43">
        <f t="shared" si="0"/>
        <v>2.0216966893793729E-3</v>
      </c>
      <c r="G20" s="60">
        <v>4.1495730660972248</v>
      </c>
      <c r="H20" s="44">
        <v>52845</v>
      </c>
      <c r="I20" s="42">
        <f t="shared" si="1"/>
        <v>1369</v>
      </c>
      <c r="J20" s="64">
        <f t="shared" si="2"/>
        <v>5020</v>
      </c>
      <c r="Y20" s="65"/>
    </row>
    <row r="21" spans="1:25" ht="14.25" customHeight="1" x14ac:dyDescent="0.3">
      <c r="A21" s="40" t="s">
        <v>187</v>
      </c>
      <c r="B21" s="41" t="s">
        <v>26</v>
      </c>
      <c r="C21" s="42">
        <v>3672</v>
      </c>
      <c r="D21" s="42">
        <v>211</v>
      </c>
      <c r="E21" s="42">
        <v>704218</v>
      </c>
      <c r="F21" s="43">
        <f t="shared" si="0"/>
        <v>4.9146713091684675E-3</v>
      </c>
      <c r="G21" s="60">
        <v>12.35057894004413</v>
      </c>
      <c r="H21" s="44">
        <v>28284</v>
      </c>
      <c r="I21" s="42">
        <f t="shared" si="1"/>
        <v>3461</v>
      </c>
      <c r="J21" s="64">
        <f t="shared" si="2"/>
        <v>4438.333333333333</v>
      </c>
      <c r="Y21" s="65"/>
    </row>
    <row r="22" spans="1:25" ht="14.25" customHeight="1" x14ac:dyDescent="0.3">
      <c r="A22" s="40" t="s">
        <v>97</v>
      </c>
      <c r="B22" s="41" t="s">
        <v>26</v>
      </c>
      <c r="C22" s="42">
        <v>4191</v>
      </c>
      <c r="D22" s="42">
        <v>599</v>
      </c>
      <c r="E22" s="42">
        <v>713549</v>
      </c>
      <c r="F22" s="43">
        <f t="shared" si="0"/>
        <v>5.033992059410076E-3</v>
      </c>
      <c r="G22" s="60">
        <v>11.56416728213479</v>
      </c>
      <c r="H22" s="44">
        <v>27833</v>
      </c>
      <c r="I22" s="42">
        <f t="shared" si="1"/>
        <v>3592</v>
      </c>
      <c r="J22" s="64">
        <f t="shared" si="2"/>
        <v>2807.3333333333335</v>
      </c>
    </row>
    <row r="23" spans="1:25" ht="14.25" customHeight="1" x14ac:dyDescent="0.3">
      <c r="A23" s="40" t="s">
        <v>15</v>
      </c>
      <c r="B23" s="41" t="s">
        <v>26</v>
      </c>
      <c r="C23" s="42">
        <v>4631</v>
      </c>
      <c r="D23" s="42">
        <v>317</v>
      </c>
      <c r="E23" s="42">
        <v>735242</v>
      </c>
      <c r="F23" s="43">
        <f t="shared" si="0"/>
        <v>5.8674558852731479E-3</v>
      </c>
      <c r="G23" s="60">
        <v>1.381177897889402</v>
      </c>
      <c r="H23" s="44">
        <v>17999</v>
      </c>
      <c r="I23" s="42">
        <f t="shared" si="1"/>
        <v>4314</v>
      </c>
      <c r="J23" s="64">
        <f t="shared" si="2"/>
        <v>3789</v>
      </c>
    </row>
    <row r="24" spans="1:25" ht="14.25" customHeight="1" x14ac:dyDescent="0.3">
      <c r="A24" s="40" t="s">
        <v>541</v>
      </c>
      <c r="B24" s="41" t="s">
        <v>26</v>
      </c>
      <c r="C24" s="42">
        <v>4897</v>
      </c>
      <c r="D24" s="42">
        <v>683</v>
      </c>
      <c r="E24" s="42">
        <v>761158</v>
      </c>
      <c r="F24" s="43">
        <f t="shared" si="0"/>
        <v>5.5363012672795921E-3</v>
      </c>
      <c r="G24" s="60">
        <v>15.06231294947961</v>
      </c>
      <c r="H24" s="44">
        <v>58201</v>
      </c>
      <c r="I24" s="42">
        <f t="shared" si="1"/>
        <v>4214</v>
      </c>
      <c r="J24" s="64">
        <f t="shared" si="2"/>
        <v>4040</v>
      </c>
    </row>
    <row r="25" spans="1:25" ht="14.25" customHeight="1" x14ac:dyDescent="0.3">
      <c r="A25" s="40" t="s">
        <v>542</v>
      </c>
      <c r="B25" s="41" t="s">
        <v>26</v>
      </c>
      <c r="C25" s="42">
        <v>3247</v>
      </c>
      <c r="D25" s="42">
        <v>328</v>
      </c>
      <c r="E25" s="42">
        <v>810061</v>
      </c>
      <c r="F25" s="43">
        <f t="shared" si="0"/>
        <v>3.6034323341081723E-3</v>
      </c>
      <c r="G25" s="60">
        <v>13.941172331466399</v>
      </c>
      <c r="H25" s="44">
        <v>15105</v>
      </c>
      <c r="I25" s="42">
        <f t="shared" si="1"/>
        <v>2919</v>
      </c>
      <c r="J25" s="64">
        <f>AVERAGE(I23:I25)</f>
        <v>3815.6666666666665</v>
      </c>
    </row>
    <row r="26" spans="1:25" ht="14.25" customHeight="1" x14ac:dyDescent="0.3">
      <c r="A26" s="40" t="s">
        <v>190</v>
      </c>
      <c r="B26" s="41" t="s">
        <v>26</v>
      </c>
      <c r="C26" s="42">
        <v>4271</v>
      </c>
      <c r="D26" s="42">
        <v>628</v>
      </c>
      <c r="E26" s="42">
        <v>868909</v>
      </c>
      <c r="F26" s="43">
        <f t="shared" si="0"/>
        <v>4.1926139561219876E-3</v>
      </c>
      <c r="G26" s="60">
        <v>11.124410036033691</v>
      </c>
      <c r="H26" s="44">
        <v>47051</v>
      </c>
      <c r="I26" s="42">
        <f t="shared" si="1"/>
        <v>3643</v>
      </c>
      <c r="J26" s="64">
        <f t="shared" si="2"/>
        <v>3592</v>
      </c>
    </row>
    <row r="27" spans="1:25" ht="14.25" customHeight="1" x14ac:dyDescent="0.3">
      <c r="A27" s="40" t="s">
        <v>109</v>
      </c>
      <c r="B27" s="41" t="s">
        <v>26</v>
      </c>
      <c r="C27" s="42">
        <v>6330</v>
      </c>
      <c r="D27" s="42">
        <v>891</v>
      </c>
      <c r="E27" s="42">
        <v>922914</v>
      </c>
      <c r="F27" s="43">
        <f t="shared" si="0"/>
        <v>5.8932901657142486E-3</v>
      </c>
      <c r="G27" s="60">
        <v>14.789893749580139</v>
      </c>
      <c r="H27" s="44">
        <v>37037</v>
      </c>
      <c r="I27" s="42">
        <f t="shared" si="1"/>
        <v>5439</v>
      </c>
      <c r="J27" s="64">
        <f t="shared" si="2"/>
        <v>4000.3333333333335</v>
      </c>
    </row>
    <row r="28" spans="1:25" ht="14.25" customHeight="1" x14ac:dyDescent="0.3">
      <c r="A28" s="40" t="s">
        <v>122</v>
      </c>
      <c r="B28" s="41" t="s">
        <v>26</v>
      </c>
      <c r="C28" s="42">
        <v>9754</v>
      </c>
      <c r="D28" s="42">
        <v>629</v>
      </c>
      <c r="E28" s="42">
        <v>938068</v>
      </c>
      <c r="F28" s="43">
        <f t="shared" si="0"/>
        <v>9.7274398018054129E-3</v>
      </c>
      <c r="G28" s="60">
        <v>3.4123325814333292</v>
      </c>
      <c r="H28" s="44">
        <v>19435</v>
      </c>
      <c r="I28" s="42">
        <f t="shared" si="1"/>
        <v>9125</v>
      </c>
      <c r="J28" s="64">
        <f t="shared" si="2"/>
        <v>6069</v>
      </c>
    </row>
    <row r="29" spans="1:25" ht="14.25" customHeight="1" x14ac:dyDescent="0.3">
      <c r="A29" s="40" t="s">
        <v>545</v>
      </c>
      <c r="B29" s="41" t="s">
        <v>26</v>
      </c>
      <c r="C29" s="42">
        <v>3376</v>
      </c>
      <c r="D29" s="42">
        <v>382</v>
      </c>
      <c r="E29" s="42">
        <v>991495</v>
      </c>
      <c r="F29" s="43">
        <f t="shared" si="0"/>
        <v>3.0196823988018094E-3</v>
      </c>
      <c r="G29" s="60">
        <v>3.8694093263203548</v>
      </c>
      <c r="H29" s="44">
        <v>44782</v>
      </c>
      <c r="I29" s="42">
        <f t="shared" si="1"/>
        <v>2994</v>
      </c>
      <c r="J29" s="64">
        <f t="shared" si="2"/>
        <v>5852.666666666667</v>
      </c>
    </row>
    <row r="30" spans="1:25" ht="14.25" customHeight="1" x14ac:dyDescent="0.3">
      <c r="A30" s="40" t="s">
        <v>546</v>
      </c>
      <c r="B30" s="41" t="s">
        <v>26</v>
      </c>
      <c r="C30" s="42">
        <v>9569</v>
      </c>
      <c r="D30" s="42">
        <v>1277</v>
      </c>
      <c r="E30" s="42">
        <v>1013386</v>
      </c>
      <c r="F30" s="43">
        <f t="shared" si="0"/>
        <v>8.1824694637581338E-3</v>
      </c>
      <c r="G30" s="60">
        <v>12.45517502708741</v>
      </c>
      <c r="H30" s="44">
        <v>59733</v>
      </c>
      <c r="I30" s="42">
        <f t="shared" si="1"/>
        <v>8292</v>
      </c>
      <c r="J30" s="64">
        <f t="shared" si="2"/>
        <v>6803.666666666667</v>
      </c>
    </row>
    <row r="31" spans="1:25" ht="14.25" customHeight="1" x14ac:dyDescent="0.3">
      <c r="A31" s="40" t="s">
        <v>547</v>
      </c>
      <c r="B31" s="41" t="s">
        <v>26</v>
      </c>
      <c r="C31" s="42">
        <v>6607</v>
      </c>
      <c r="D31" s="42">
        <v>479</v>
      </c>
      <c r="E31" s="42">
        <v>1063421</v>
      </c>
      <c r="F31" s="43">
        <f t="shared" si="0"/>
        <v>5.7625343114345116E-3</v>
      </c>
      <c r="G31" s="60">
        <v>5.5892257158735816</v>
      </c>
      <c r="H31" s="44">
        <v>48328</v>
      </c>
      <c r="I31" s="42">
        <f t="shared" si="1"/>
        <v>6128</v>
      </c>
      <c r="J31" s="64">
        <f t="shared" si="2"/>
        <v>5804.666666666667</v>
      </c>
    </row>
    <row r="32" spans="1:25" ht="14.25" customHeight="1" x14ac:dyDescent="0.3">
      <c r="A32" s="40" t="s">
        <v>364</v>
      </c>
      <c r="B32" s="41" t="s">
        <v>26</v>
      </c>
      <c r="C32" s="42">
        <v>1521</v>
      </c>
      <c r="D32" s="42">
        <v>96</v>
      </c>
      <c r="E32" s="42">
        <v>1087368</v>
      </c>
      <c r="F32" s="43">
        <f t="shared" si="0"/>
        <v>1.3105038956452645E-3</v>
      </c>
      <c r="G32" s="60">
        <v>12.709772588488899</v>
      </c>
      <c r="H32" s="44">
        <v>42262</v>
      </c>
      <c r="I32" s="42">
        <f t="shared" si="1"/>
        <v>1425</v>
      </c>
      <c r="J32" s="64">
        <f t="shared" si="2"/>
        <v>5281.666666666667</v>
      </c>
    </row>
    <row r="33" spans="1:10" ht="14.25" customHeight="1" x14ac:dyDescent="0.3">
      <c r="A33" s="40" t="s">
        <v>549</v>
      </c>
      <c r="B33" s="41" t="s">
        <v>26</v>
      </c>
      <c r="C33" s="42">
        <v>5941</v>
      </c>
      <c r="D33" s="42">
        <v>450</v>
      </c>
      <c r="E33" s="42">
        <v>1117854</v>
      </c>
      <c r="F33" s="43">
        <f t="shared" si="0"/>
        <v>4.9120904876665469E-3</v>
      </c>
      <c r="G33" s="60">
        <v>12.414411899944</v>
      </c>
      <c r="H33" s="44">
        <v>58330</v>
      </c>
      <c r="I33" s="42">
        <f t="shared" si="1"/>
        <v>5491</v>
      </c>
      <c r="J33" s="64">
        <f t="shared" si="2"/>
        <v>4348</v>
      </c>
    </row>
    <row r="34" spans="1:10" ht="14.25" customHeight="1" x14ac:dyDescent="0.3">
      <c r="A34" s="40" t="s">
        <v>69</v>
      </c>
      <c r="B34" s="41" t="s">
        <v>26</v>
      </c>
      <c r="C34" s="42">
        <v>8697</v>
      </c>
      <c r="D34" s="42">
        <v>738</v>
      </c>
      <c r="E34" s="42">
        <v>1168011</v>
      </c>
      <c r="F34" s="43">
        <f t="shared" ref="F34:F65" si="3">(C34-D34)/E34</f>
        <v>6.8141481544266276E-3</v>
      </c>
      <c r="G34" s="60">
        <v>3.8777032065622672</v>
      </c>
      <c r="H34" s="44">
        <v>30644</v>
      </c>
      <c r="I34" s="42">
        <f t="shared" ref="I34:I65" si="4">(C34-D34)</f>
        <v>7959</v>
      </c>
      <c r="J34" s="64">
        <f>AVERAGE(I32:I34)</f>
        <v>4958.333333333333</v>
      </c>
    </row>
    <row r="35" spans="1:10" ht="14.25" customHeight="1" x14ac:dyDescent="0.3">
      <c r="A35" s="40" t="s">
        <v>27</v>
      </c>
      <c r="B35" s="41" t="s">
        <v>26</v>
      </c>
      <c r="C35" s="42">
        <v>3196</v>
      </c>
      <c r="D35" s="42">
        <v>391</v>
      </c>
      <c r="E35" s="42">
        <v>1170816</v>
      </c>
      <c r="F35" s="43">
        <f t="shared" si="3"/>
        <v>2.3957650049196456E-3</v>
      </c>
      <c r="G35" s="60">
        <v>7.2439221876024931</v>
      </c>
      <c r="H35" s="44">
        <v>28745</v>
      </c>
      <c r="I35" s="42">
        <f t="shared" si="4"/>
        <v>2805</v>
      </c>
      <c r="J35" s="64">
        <f t="shared" si="2"/>
        <v>5418.333333333333</v>
      </c>
    </row>
    <row r="36" spans="1:10" ht="14.25" customHeight="1" x14ac:dyDescent="0.3">
      <c r="A36" s="40" t="s">
        <v>134</v>
      </c>
      <c r="B36" s="41" t="s">
        <v>21</v>
      </c>
      <c r="C36" s="42">
        <v>7097</v>
      </c>
      <c r="D36" s="42">
        <v>369</v>
      </c>
      <c r="E36" s="42">
        <v>170518</v>
      </c>
      <c r="F36" s="43">
        <f t="shared" si="3"/>
        <v>3.9456245088495059E-2</v>
      </c>
      <c r="G36" s="60">
        <v>9.2506362964613711</v>
      </c>
      <c r="H36" s="44">
        <v>33762</v>
      </c>
      <c r="I36" s="42">
        <f t="shared" si="4"/>
        <v>6728</v>
      </c>
    </row>
    <row r="37" spans="1:10" ht="14.25" customHeight="1" x14ac:dyDescent="0.3">
      <c r="A37" s="40" t="s">
        <v>404</v>
      </c>
      <c r="B37" s="41" t="s">
        <v>21</v>
      </c>
      <c r="C37" s="42">
        <v>5917</v>
      </c>
      <c r="D37" s="42">
        <v>475</v>
      </c>
      <c r="E37" s="42">
        <v>210260</v>
      </c>
      <c r="F37" s="43">
        <f t="shared" si="3"/>
        <v>2.5882241034909159E-2</v>
      </c>
      <c r="G37" s="60">
        <v>17.894035955483691</v>
      </c>
      <c r="H37" s="44">
        <v>28313</v>
      </c>
      <c r="I37" s="42">
        <f t="shared" si="4"/>
        <v>5442</v>
      </c>
    </row>
    <row r="38" spans="1:10" ht="14.25" customHeight="1" x14ac:dyDescent="0.3">
      <c r="A38" s="40" t="s">
        <v>532</v>
      </c>
      <c r="B38" s="41" t="s">
        <v>21</v>
      </c>
      <c r="C38" s="42">
        <v>2048</v>
      </c>
      <c r="D38" s="42">
        <v>130</v>
      </c>
      <c r="E38" s="42">
        <v>233720</v>
      </c>
      <c r="F38" s="43">
        <f t="shared" si="3"/>
        <v>8.2064008214958063E-3</v>
      </c>
      <c r="G38" s="60">
        <v>39.284614068115687</v>
      </c>
      <c r="H38" s="44">
        <v>11828</v>
      </c>
      <c r="I38" s="42">
        <f t="shared" si="4"/>
        <v>1918</v>
      </c>
      <c r="J38" s="64">
        <f>AVERAGE(I36:I38)</f>
        <v>4696</v>
      </c>
    </row>
    <row r="39" spans="1:10" ht="14.25" customHeight="1" x14ac:dyDescent="0.3">
      <c r="A39" s="40" t="s">
        <v>533</v>
      </c>
      <c r="B39" s="41" t="s">
        <v>21</v>
      </c>
      <c r="C39" s="42">
        <v>8340</v>
      </c>
      <c r="D39" s="42">
        <v>911</v>
      </c>
      <c r="E39" s="42">
        <v>264494</v>
      </c>
      <c r="F39" s="43">
        <f t="shared" si="3"/>
        <v>2.8087593669421613E-2</v>
      </c>
      <c r="G39" s="60">
        <v>37.302925586213682</v>
      </c>
      <c r="H39" s="44">
        <v>48659</v>
      </c>
      <c r="I39" s="42">
        <f t="shared" si="4"/>
        <v>7429</v>
      </c>
      <c r="J39" s="64">
        <f t="shared" ref="J39:J71" si="5">AVERAGE(I37:I39)</f>
        <v>4929.666666666667</v>
      </c>
    </row>
    <row r="40" spans="1:10" ht="14.25" customHeight="1" x14ac:dyDescent="0.3">
      <c r="A40" s="40" t="s">
        <v>230</v>
      </c>
      <c r="B40" s="41" t="s">
        <v>21</v>
      </c>
      <c r="C40" s="42">
        <v>1845</v>
      </c>
      <c r="D40" s="42">
        <v>104</v>
      </c>
      <c r="E40" s="42">
        <v>291024</v>
      </c>
      <c r="F40" s="43">
        <f t="shared" si="3"/>
        <v>5.9823244818296775E-3</v>
      </c>
      <c r="G40" s="60">
        <v>28.158158777282971</v>
      </c>
      <c r="H40" s="44">
        <v>37766</v>
      </c>
      <c r="I40" s="42">
        <f t="shared" si="4"/>
        <v>1741</v>
      </c>
      <c r="J40" s="64">
        <f t="shared" si="5"/>
        <v>3696</v>
      </c>
    </row>
    <row r="41" spans="1:10" ht="14.25" customHeight="1" x14ac:dyDescent="0.3">
      <c r="A41" s="40" t="s">
        <v>446</v>
      </c>
      <c r="B41" s="41" t="s">
        <v>21</v>
      </c>
      <c r="C41" s="42">
        <v>5349</v>
      </c>
      <c r="D41" s="42">
        <v>502</v>
      </c>
      <c r="E41" s="42">
        <v>320404</v>
      </c>
      <c r="F41" s="43">
        <f t="shared" si="3"/>
        <v>1.5127776182569505E-2</v>
      </c>
      <c r="G41" s="60">
        <v>5.2152906954969351</v>
      </c>
      <c r="H41" s="44">
        <v>58868</v>
      </c>
      <c r="I41" s="42">
        <f t="shared" si="4"/>
        <v>4847</v>
      </c>
      <c r="J41" s="64">
        <f t="shared" si="5"/>
        <v>4672.333333333333</v>
      </c>
    </row>
    <row r="42" spans="1:10" ht="14.25" customHeight="1" x14ac:dyDescent="0.3">
      <c r="A42" s="40" t="s">
        <v>67</v>
      </c>
      <c r="B42" s="41" t="s">
        <v>21</v>
      </c>
      <c r="C42" s="42">
        <v>1689</v>
      </c>
      <c r="D42" s="42">
        <v>176</v>
      </c>
      <c r="E42" s="42">
        <v>371865</v>
      </c>
      <c r="F42" s="43">
        <f t="shared" si="3"/>
        <v>4.068680838476329E-3</v>
      </c>
      <c r="G42" s="60">
        <v>38.012181840183942</v>
      </c>
      <c r="H42" s="44">
        <v>26029</v>
      </c>
      <c r="I42" s="42">
        <f t="shared" si="4"/>
        <v>1513</v>
      </c>
      <c r="J42" s="64">
        <f t="shared" si="5"/>
        <v>2700.3333333333335</v>
      </c>
    </row>
    <row r="43" spans="1:10" ht="14.25" customHeight="1" x14ac:dyDescent="0.3">
      <c r="A43" s="40" t="s">
        <v>164</v>
      </c>
      <c r="B43" s="41" t="s">
        <v>21</v>
      </c>
      <c r="C43" s="42">
        <v>9591</v>
      </c>
      <c r="D43" s="42">
        <v>1363</v>
      </c>
      <c r="E43" s="42">
        <v>413369</v>
      </c>
      <c r="F43" s="43">
        <f t="shared" si="3"/>
        <v>1.9904734026983156E-2</v>
      </c>
      <c r="G43" s="60">
        <v>10.494255737609739</v>
      </c>
      <c r="H43" s="44">
        <v>15997</v>
      </c>
      <c r="I43" s="42">
        <f t="shared" si="4"/>
        <v>8228</v>
      </c>
      <c r="J43" s="64">
        <f t="shared" si="5"/>
        <v>4862.666666666667</v>
      </c>
    </row>
    <row r="44" spans="1:10" ht="14.25" customHeight="1" x14ac:dyDescent="0.3">
      <c r="A44" s="40" t="s">
        <v>76</v>
      </c>
      <c r="B44" s="41" t="s">
        <v>21</v>
      </c>
      <c r="C44" s="42">
        <v>6671</v>
      </c>
      <c r="D44" s="42">
        <v>550</v>
      </c>
      <c r="E44" s="42">
        <v>438545</v>
      </c>
      <c r="F44" s="43">
        <f t="shared" si="3"/>
        <v>1.3957518612685129E-2</v>
      </c>
      <c r="G44" s="60">
        <v>17.750287883797562</v>
      </c>
      <c r="H44" s="44">
        <v>10541</v>
      </c>
      <c r="I44" s="42">
        <f t="shared" si="4"/>
        <v>6121</v>
      </c>
      <c r="J44" s="64">
        <f t="shared" si="5"/>
        <v>5287.333333333333</v>
      </c>
    </row>
    <row r="45" spans="1:10" ht="14.25" customHeight="1" x14ac:dyDescent="0.3">
      <c r="A45" s="40" t="s">
        <v>534</v>
      </c>
      <c r="B45" s="41" t="s">
        <v>21</v>
      </c>
      <c r="C45" s="42">
        <v>2382</v>
      </c>
      <c r="D45" s="42">
        <v>183</v>
      </c>
      <c r="E45" s="42">
        <v>447968</v>
      </c>
      <c r="F45" s="43">
        <f t="shared" si="3"/>
        <v>4.9088327737695546E-3</v>
      </c>
      <c r="G45" s="60">
        <v>4.7335970426459033</v>
      </c>
      <c r="H45" s="44">
        <v>47861</v>
      </c>
      <c r="I45" s="42">
        <f t="shared" si="4"/>
        <v>2199</v>
      </c>
      <c r="J45" s="64">
        <f t="shared" si="5"/>
        <v>5516</v>
      </c>
    </row>
    <row r="46" spans="1:10" ht="14.25" customHeight="1" x14ac:dyDescent="0.3">
      <c r="A46" s="40" t="s">
        <v>537</v>
      </c>
      <c r="B46" s="41" t="s">
        <v>21</v>
      </c>
      <c r="C46" s="42">
        <v>2549</v>
      </c>
      <c r="D46" s="42">
        <v>128</v>
      </c>
      <c r="E46" s="42">
        <v>492814</v>
      </c>
      <c r="F46" s="43">
        <f t="shared" si="3"/>
        <v>4.9126039438814641E-3</v>
      </c>
      <c r="G46" s="60">
        <v>12.734216154573531</v>
      </c>
      <c r="H46" s="44">
        <v>43937</v>
      </c>
      <c r="I46" s="42">
        <f t="shared" si="4"/>
        <v>2421</v>
      </c>
      <c r="J46" s="64">
        <f t="shared" si="5"/>
        <v>3580.3333333333335</v>
      </c>
    </row>
    <row r="47" spans="1:10" ht="14.25" customHeight="1" x14ac:dyDescent="0.3">
      <c r="A47" s="40" t="s">
        <v>169</v>
      </c>
      <c r="B47" s="41" t="s">
        <v>21</v>
      </c>
      <c r="C47" s="42">
        <v>7356</v>
      </c>
      <c r="D47" s="42">
        <v>904</v>
      </c>
      <c r="E47" s="42">
        <v>581126</v>
      </c>
      <c r="F47" s="43">
        <f t="shared" si="3"/>
        <v>1.1102583604932494E-2</v>
      </c>
      <c r="G47" s="60">
        <v>17.560907617280929</v>
      </c>
      <c r="H47" s="44">
        <v>44051</v>
      </c>
      <c r="I47" s="42">
        <f t="shared" si="4"/>
        <v>6452</v>
      </c>
      <c r="J47" s="64">
        <f t="shared" si="5"/>
        <v>3690.6666666666665</v>
      </c>
    </row>
    <row r="48" spans="1:10" ht="14.25" customHeight="1" x14ac:dyDescent="0.3">
      <c r="A48" s="40" t="s">
        <v>242</v>
      </c>
      <c r="B48" s="41" t="s">
        <v>21</v>
      </c>
      <c r="C48" s="42">
        <v>5268</v>
      </c>
      <c r="D48" s="42">
        <v>326</v>
      </c>
      <c r="E48" s="42">
        <v>604702</v>
      </c>
      <c r="F48" s="43">
        <f t="shared" si="3"/>
        <v>8.1726205635172366E-3</v>
      </c>
      <c r="G48" s="60">
        <v>23.435841125050029</v>
      </c>
      <c r="H48" s="44">
        <v>44501</v>
      </c>
      <c r="I48" s="42">
        <f t="shared" si="4"/>
        <v>4942</v>
      </c>
      <c r="J48" s="64">
        <f t="shared" si="5"/>
        <v>4605</v>
      </c>
    </row>
    <row r="49" spans="1:10" ht="14.25" customHeight="1" x14ac:dyDescent="0.3">
      <c r="A49" s="40" t="s">
        <v>539</v>
      </c>
      <c r="B49" s="41" t="s">
        <v>21</v>
      </c>
      <c r="C49" s="42">
        <v>5592</v>
      </c>
      <c r="D49" s="42">
        <v>710</v>
      </c>
      <c r="E49" s="42">
        <v>620702</v>
      </c>
      <c r="F49" s="43">
        <f t="shared" si="3"/>
        <v>7.8652880126050834E-3</v>
      </c>
      <c r="G49" s="60">
        <v>9.07118069540617</v>
      </c>
      <c r="H49" s="44">
        <v>24472</v>
      </c>
      <c r="I49" s="42">
        <f t="shared" si="4"/>
        <v>4882</v>
      </c>
      <c r="J49" s="64">
        <f t="shared" si="5"/>
        <v>5425.333333333333</v>
      </c>
    </row>
    <row r="50" spans="1:10" ht="14.25" customHeight="1" x14ac:dyDescent="0.3">
      <c r="A50" s="40" t="s">
        <v>62</v>
      </c>
      <c r="B50" s="41" t="s">
        <v>21</v>
      </c>
      <c r="C50" s="42">
        <v>3355</v>
      </c>
      <c r="D50" s="42">
        <v>176</v>
      </c>
      <c r="E50" s="42">
        <v>640691</v>
      </c>
      <c r="F50" s="43">
        <f t="shared" si="3"/>
        <v>4.9618302738761748E-3</v>
      </c>
      <c r="G50" s="60">
        <v>12.426427091999111</v>
      </c>
      <c r="H50" s="44">
        <v>40268</v>
      </c>
      <c r="I50" s="42">
        <f t="shared" si="4"/>
        <v>3179</v>
      </c>
      <c r="J50" s="64">
        <f t="shared" si="5"/>
        <v>4334.333333333333</v>
      </c>
    </row>
    <row r="51" spans="1:10" ht="14.25" customHeight="1" x14ac:dyDescent="0.3">
      <c r="A51" s="40" t="s">
        <v>461</v>
      </c>
      <c r="B51" s="41" t="s">
        <v>21</v>
      </c>
      <c r="C51" s="42">
        <v>9737</v>
      </c>
      <c r="D51" s="42">
        <v>792</v>
      </c>
      <c r="E51" s="42">
        <v>670642</v>
      </c>
      <c r="F51" s="43">
        <f t="shared" si="3"/>
        <v>1.3337965710468476E-2</v>
      </c>
      <c r="G51" s="60">
        <v>5.301785453341723</v>
      </c>
      <c r="H51" s="44">
        <v>56698</v>
      </c>
      <c r="I51" s="42">
        <f t="shared" si="4"/>
        <v>8945</v>
      </c>
      <c r="J51" s="64">
        <f t="shared" si="5"/>
        <v>5668.666666666667</v>
      </c>
    </row>
    <row r="52" spans="1:10" ht="14.25" customHeight="1" x14ac:dyDescent="0.3">
      <c r="A52" s="40" t="s">
        <v>540</v>
      </c>
      <c r="B52" s="41" t="s">
        <v>21</v>
      </c>
      <c r="C52" s="42">
        <v>5839</v>
      </c>
      <c r="D52" s="42">
        <v>437</v>
      </c>
      <c r="E52" s="42">
        <v>682556</v>
      </c>
      <c r="F52" s="43">
        <f t="shared" si="3"/>
        <v>7.9143689309009082E-3</v>
      </c>
      <c r="G52" s="60">
        <v>17.44750613869045</v>
      </c>
      <c r="H52" s="44">
        <v>16397</v>
      </c>
      <c r="I52" s="42">
        <f t="shared" si="4"/>
        <v>5402</v>
      </c>
      <c r="J52" s="64">
        <f t="shared" si="5"/>
        <v>5842</v>
      </c>
    </row>
    <row r="53" spans="1:10" ht="14.25" customHeight="1" x14ac:dyDescent="0.3">
      <c r="A53" s="40" t="s">
        <v>187</v>
      </c>
      <c r="B53" s="41" t="s">
        <v>21</v>
      </c>
      <c r="C53" s="42">
        <v>1016</v>
      </c>
      <c r="D53" s="42">
        <v>67</v>
      </c>
      <c r="E53" s="42">
        <v>709957</v>
      </c>
      <c r="F53" s="43">
        <f t="shared" si="3"/>
        <v>1.3367006734210664E-3</v>
      </c>
      <c r="G53" s="60">
        <v>20.774215903216671</v>
      </c>
      <c r="H53" s="44">
        <v>33284</v>
      </c>
      <c r="I53" s="42">
        <f t="shared" si="4"/>
        <v>949</v>
      </c>
      <c r="J53" s="64">
        <f t="shared" si="5"/>
        <v>5098.666666666667</v>
      </c>
    </row>
    <row r="54" spans="1:10" ht="14.25" customHeight="1" x14ac:dyDescent="0.3">
      <c r="A54" s="40" t="s">
        <v>97</v>
      </c>
      <c r="B54" s="41" t="s">
        <v>21</v>
      </c>
      <c r="C54" s="42">
        <v>9616</v>
      </c>
      <c r="D54" s="42">
        <v>1089</v>
      </c>
      <c r="E54" s="42">
        <v>723286</v>
      </c>
      <c r="F54" s="43">
        <f t="shared" si="3"/>
        <v>1.178925072516266E-2</v>
      </c>
      <c r="G54" s="60">
        <v>19.25863351426683</v>
      </c>
      <c r="H54" s="44">
        <v>15017</v>
      </c>
      <c r="I54" s="42">
        <f t="shared" si="4"/>
        <v>8527</v>
      </c>
      <c r="J54" s="64">
        <f t="shared" si="5"/>
        <v>4959.333333333333</v>
      </c>
    </row>
    <row r="55" spans="1:10" ht="14.25" customHeight="1" x14ac:dyDescent="0.3">
      <c r="A55" s="40" t="s">
        <v>15</v>
      </c>
      <c r="B55" s="41" t="s">
        <v>21</v>
      </c>
      <c r="C55" s="42">
        <v>1571</v>
      </c>
      <c r="D55" s="42">
        <v>204</v>
      </c>
      <c r="E55" s="42">
        <v>730928</v>
      </c>
      <c r="F55" s="43">
        <f t="shared" si="3"/>
        <v>1.8702252479040344E-3</v>
      </c>
      <c r="G55" s="60">
        <v>19.449384891535139</v>
      </c>
      <c r="H55" s="44">
        <v>39252</v>
      </c>
      <c r="I55" s="42">
        <f t="shared" si="4"/>
        <v>1367</v>
      </c>
      <c r="J55" s="64">
        <f>AVERAGE(I53:I55)</f>
        <v>3614.3333333333335</v>
      </c>
    </row>
    <row r="56" spans="1:10" ht="14.25" customHeight="1" x14ac:dyDescent="0.3">
      <c r="A56" s="40" t="s">
        <v>541</v>
      </c>
      <c r="B56" s="41" t="s">
        <v>21</v>
      </c>
      <c r="C56" s="42">
        <v>9433</v>
      </c>
      <c r="D56" s="42">
        <v>1233</v>
      </c>
      <c r="E56" s="42">
        <v>756944</v>
      </c>
      <c r="F56" s="43">
        <f t="shared" si="3"/>
        <v>1.0833033883616226E-2</v>
      </c>
      <c r="G56" s="60">
        <v>11.391727789638329</v>
      </c>
      <c r="H56" s="44">
        <v>12096</v>
      </c>
      <c r="I56" s="42">
        <f t="shared" si="4"/>
        <v>8200</v>
      </c>
      <c r="J56" s="64">
        <f t="shared" si="5"/>
        <v>6031.333333333333</v>
      </c>
    </row>
    <row r="57" spans="1:10" ht="14.25" customHeight="1" x14ac:dyDescent="0.3">
      <c r="A57" s="40" t="s">
        <v>107</v>
      </c>
      <c r="B57" s="41" t="s">
        <v>21</v>
      </c>
      <c r="C57" s="42">
        <v>9980</v>
      </c>
      <c r="D57" s="42">
        <v>726</v>
      </c>
      <c r="E57" s="42">
        <v>781868</v>
      </c>
      <c r="F57" s="43">
        <f t="shared" si="3"/>
        <v>1.1835757442432739E-2</v>
      </c>
      <c r="G57" s="60">
        <v>4.0220344099003924</v>
      </c>
      <c r="H57" s="44">
        <v>58709</v>
      </c>
      <c r="I57" s="42">
        <f t="shared" si="4"/>
        <v>9254</v>
      </c>
      <c r="J57" s="64">
        <f t="shared" si="5"/>
        <v>6273.666666666667</v>
      </c>
    </row>
    <row r="58" spans="1:10" ht="14.25" customHeight="1" x14ac:dyDescent="0.3">
      <c r="A58" s="40" t="s">
        <v>542</v>
      </c>
      <c r="B58" s="41" t="s">
        <v>21</v>
      </c>
      <c r="C58" s="42">
        <v>7869</v>
      </c>
      <c r="D58" s="42">
        <v>398</v>
      </c>
      <c r="E58" s="42">
        <v>807142</v>
      </c>
      <c r="F58" s="43">
        <f t="shared" si="3"/>
        <v>9.2561160241940079E-3</v>
      </c>
      <c r="G58" s="60">
        <v>15.211945357818079</v>
      </c>
      <c r="H58" s="44">
        <v>25078</v>
      </c>
      <c r="I58" s="42">
        <f t="shared" si="4"/>
        <v>7471</v>
      </c>
      <c r="J58" s="64">
        <f t="shared" si="5"/>
        <v>8308.3333333333339</v>
      </c>
    </row>
    <row r="59" spans="1:10" ht="14.25" customHeight="1" x14ac:dyDescent="0.3">
      <c r="A59" s="40" t="s">
        <v>190</v>
      </c>
      <c r="B59" s="41" t="s">
        <v>21</v>
      </c>
      <c r="C59" s="42">
        <v>8083</v>
      </c>
      <c r="D59" s="42">
        <v>823</v>
      </c>
      <c r="E59" s="42">
        <v>853477</v>
      </c>
      <c r="F59" s="43">
        <f t="shared" si="3"/>
        <v>8.5063803711172073E-3</v>
      </c>
      <c r="G59" s="60">
        <v>4.6300017457998282</v>
      </c>
      <c r="H59" s="44">
        <v>27069</v>
      </c>
      <c r="I59" s="42">
        <f t="shared" si="4"/>
        <v>7260</v>
      </c>
      <c r="J59" s="64">
        <f t="shared" si="5"/>
        <v>7995</v>
      </c>
    </row>
    <row r="60" spans="1:10" ht="14.25" customHeight="1" x14ac:dyDescent="0.3">
      <c r="A60" s="40" t="s">
        <v>448</v>
      </c>
      <c r="B60" s="41" t="s">
        <v>21</v>
      </c>
      <c r="C60" s="42">
        <v>3711</v>
      </c>
      <c r="D60" s="42">
        <v>291</v>
      </c>
      <c r="E60" s="42">
        <v>900862</v>
      </c>
      <c r="F60" s="43">
        <f t="shared" si="3"/>
        <v>3.7963639269943676E-3</v>
      </c>
      <c r="G60" s="60">
        <v>14.24879726306582</v>
      </c>
      <c r="H60" s="44">
        <v>55603</v>
      </c>
      <c r="I60" s="42">
        <f t="shared" si="4"/>
        <v>3420</v>
      </c>
      <c r="J60" s="64">
        <f t="shared" si="5"/>
        <v>6050.333333333333</v>
      </c>
    </row>
    <row r="61" spans="1:10" ht="14.25" customHeight="1" x14ac:dyDescent="0.3">
      <c r="A61" s="40" t="s">
        <v>109</v>
      </c>
      <c r="B61" s="41" t="s">
        <v>21</v>
      </c>
      <c r="C61" s="42">
        <v>5531</v>
      </c>
      <c r="D61" s="42">
        <v>430</v>
      </c>
      <c r="E61" s="42">
        <v>917475</v>
      </c>
      <c r="F61" s="43">
        <f t="shared" si="3"/>
        <v>5.5598245183792472E-3</v>
      </c>
      <c r="G61" s="60">
        <v>2.7289026948963189</v>
      </c>
      <c r="H61" s="44">
        <v>47481</v>
      </c>
      <c r="I61" s="42">
        <f t="shared" si="4"/>
        <v>5101</v>
      </c>
      <c r="J61" s="64">
        <f t="shared" si="5"/>
        <v>5260.333333333333</v>
      </c>
    </row>
    <row r="62" spans="1:10" ht="14.25" customHeight="1" x14ac:dyDescent="0.3">
      <c r="A62" s="40" t="s">
        <v>166</v>
      </c>
      <c r="B62" s="41" t="s">
        <v>21</v>
      </c>
      <c r="C62" s="42">
        <v>8504</v>
      </c>
      <c r="D62" s="42">
        <v>1072</v>
      </c>
      <c r="E62" s="42">
        <v>973452</v>
      </c>
      <c r="F62" s="43">
        <f t="shared" si="3"/>
        <v>7.6346856342171983E-3</v>
      </c>
      <c r="G62" s="60">
        <v>6.5651927367759271</v>
      </c>
      <c r="H62" s="44">
        <v>18461</v>
      </c>
      <c r="I62" s="42">
        <f t="shared" si="4"/>
        <v>7432</v>
      </c>
      <c r="J62" s="64">
        <f t="shared" si="5"/>
        <v>5317.666666666667</v>
      </c>
    </row>
    <row r="63" spans="1:10" ht="14.25" customHeight="1" x14ac:dyDescent="0.3">
      <c r="A63" s="40" t="s">
        <v>545</v>
      </c>
      <c r="B63" s="41" t="s">
        <v>21</v>
      </c>
      <c r="C63" s="42">
        <v>2827</v>
      </c>
      <c r="D63" s="42">
        <v>292</v>
      </c>
      <c r="E63" s="42">
        <v>997585</v>
      </c>
      <c r="F63" s="43">
        <f t="shared" si="3"/>
        <v>2.5411368454818384E-3</v>
      </c>
      <c r="G63" s="60">
        <v>2.4004972007397871</v>
      </c>
      <c r="H63" s="44">
        <v>17896</v>
      </c>
      <c r="I63" s="42">
        <f t="shared" si="4"/>
        <v>2535</v>
      </c>
      <c r="J63" s="64">
        <f t="shared" si="5"/>
        <v>5022.666666666667</v>
      </c>
    </row>
    <row r="64" spans="1:10" ht="14.25" customHeight="1" x14ac:dyDescent="0.3">
      <c r="A64" s="40" t="s">
        <v>546</v>
      </c>
      <c r="B64" s="41" t="s">
        <v>21</v>
      </c>
      <c r="C64" s="42">
        <v>7979</v>
      </c>
      <c r="D64" s="42">
        <v>470</v>
      </c>
      <c r="E64" s="42">
        <v>1005094</v>
      </c>
      <c r="F64" s="43">
        <f t="shared" si="3"/>
        <v>7.4709430162750948E-3</v>
      </c>
      <c r="G64" s="60">
        <v>10.43086517280971</v>
      </c>
      <c r="H64" s="44">
        <v>42972</v>
      </c>
      <c r="I64" s="42">
        <f t="shared" si="4"/>
        <v>7509</v>
      </c>
      <c r="J64" s="64">
        <f t="shared" si="5"/>
        <v>5825.333333333333</v>
      </c>
    </row>
    <row r="65" spans="1:10" ht="14.25" customHeight="1" x14ac:dyDescent="0.3">
      <c r="A65" s="40" t="s">
        <v>349</v>
      </c>
      <c r="B65" s="41" t="s">
        <v>21</v>
      </c>
      <c r="C65" s="42">
        <v>9561</v>
      </c>
      <c r="D65" s="42">
        <v>517</v>
      </c>
      <c r="E65" s="42">
        <v>1034649</v>
      </c>
      <c r="F65" s="43">
        <f t="shared" si="3"/>
        <v>8.741128633961856E-3</v>
      </c>
      <c r="G65" s="60">
        <v>6.4086467971263694</v>
      </c>
      <c r="H65" s="44">
        <v>15347</v>
      </c>
      <c r="I65" s="42">
        <f t="shared" si="4"/>
        <v>9044</v>
      </c>
      <c r="J65" s="64">
        <f t="shared" si="5"/>
        <v>6362.666666666667</v>
      </c>
    </row>
    <row r="66" spans="1:10" ht="14.25" customHeight="1" x14ac:dyDescent="0.3">
      <c r="A66" s="40" t="s">
        <v>547</v>
      </c>
      <c r="B66" s="41" t="s">
        <v>21</v>
      </c>
      <c r="C66" s="42">
        <v>1780</v>
      </c>
      <c r="D66" s="42">
        <v>120</v>
      </c>
      <c r="E66" s="42">
        <v>1066648</v>
      </c>
      <c r="F66" s="43">
        <f t="shared" ref="F66:F97" si="6">(C66-D66)/E66</f>
        <v>1.55627723485161E-3</v>
      </c>
      <c r="G66" s="60">
        <v>13.86474263299608</v>
      </c>
      <c r="H66" s="44">
        <v>57299</v>
      </c>
      <c r="I66" s="42">
        <f t="shared" ref="I66:I97" si="7">(C66-D66)</f>
        <v>1660</v>
      </c>
      <c r="J66" s="64">
        <f t="shared" si="5"/>
        <v>6071</v>
      </c>
    </row>
    <row r="67" spans="1:10" ht="14.25" customHeight="1" x14ac:dyDescent="0.3">
      <c r="A67" s="40" t="s">
        <v>364</v>
      </c>
      <c r="B67" s="41" t="s">
        <v>21</v>
      </c>
      <c r="C67" s="42">
        <v>4983</v>
      </c>
      <c r="D67" s="42">
        <v>441</v>
      </c>
      <c r="E67" s="42">
        <v>1077624</v>
      </c>
      <c r="F67" s="43">
        <f t="shared" si="6"/>
        <v>4.2148281775461569E-3</v>
      </c>
      <c r="G67" s="60">
        <v>6.8954477628560609</v>
      </c>
      <c r="H67" s="44">
        <v>46768</v>
      </c>
      <c r="I67" s="42">
        <f t="shared" si="7"/>
        <v>4542</v>
      </c>
      <c r="J67" s="64">
        <f t="shared" si="5"/>
        <v>5082</v>
      </c>
    </row>
    <row r="68" spans="1:10" ht="14.25" customHeight="1" x14ac:dyDescent="0.3">
      <c r="A68" s="40" t="s">
        <v>548</v>
      </c>
      <c r="B68" s="41" t="s">
        <v>21</v>
      </c>
      <c r="C68" s="42">
        <v>8569</v>
      </c>
      <c r="D68" s="42">
        <v>720</v>
      </c>
      <c r="E68" s="42">
        <v>1095217</v>
      </c>
      <c r="F68" s="43">
        <f t="shared" si="6"/>
        <v>7.1666162961312686E-3</v>
      </c>
      <c r="G68" s="60">
        <v>9.589697749395782</v>
      </c>
      <c r="H68" s="44">
        <v>41358</v>
      </c>
      <c r="I68" s="42">
        <f t="shared" si="7"/>
        <v>7849</v>
      </c>
      <c r="J68" s="64">
        <f t="shared" si="5"/>
        <v>4683.666666666667</v>
      </c>
    </row>
    <row r="69" spans="1:10" ht="14.25" customHeight="1" x14ac:dyDescent="0.3">
      <c r="A69" s="40" t="s">
        <v>322</v>
      </c>
      <c r="B69" s="41" t="s">
        <v>21</v>
      </c>
      <c r="C69" s="42">
        <v>1685</v>
      </c>
      <c r="D69" s="42">
        <v>173</v>
      </c>
      <c r="E69" s="42">
        <v>1135945</v>
      </c>
      <c r="F69" s="43">
        <f t="shared" si="6"/>
        <v>1.331050358952238E-3</v>
      </c>
      <c r="G69" s="60">
        <v>8.7776256772995165</v>
      </c>
      <c r="H69" s="44">
        <v>49110</v>
      </c>
      <c r="I69" s="42">
        <f t="shared" si="7"/>
        <v>1512</v>
      </c>
      <c r="J69" s="64">
        <f t="shared" si="5"/>
        <v>4634.333333333333</v>
      </c>
    </row>
    <row r="70" spans="1:10" ht="14.25" customHeight="1" x14ac:dyDescent="0.3">
      <c r="A70" s="40" t="s">
        <v>69</v>
      </c>
      <c r="B70" s="41" t="s">
        <v>21</v>
      </c>
      <c r="C70" s="42">
        <v>1038</v>
      </c>
      <c r="D70" s="42">
        <v>145</v>
      </c>
      <c r="E70" s="42">
        <v>1152775</v>
      </c>
      <c r="F70" s="43">
        <f t="shared" si="6"/>
        <v>7.7465246904209403E-4</v>
      </c>
      <c r="G70" s="60">
        <v>11.093752033137431</v>
      </c>
      <c r="H70" s="44">
        <v>55951</v>
      </c>
      <c r="I70" s="42">
        <f t="shared" si="7"/>
        <v>893</v>
      </c>
      <c r="J70" s="64">
        <f>AVERAGE(I68:I70)</f>
        <v>3418</v>
      </c>
    </row>
    <row r="71" spans="1:10" ht="14.25" customHeight="1" x14ac:dyDescent="0.3">
      <c r="A71" s="40" t="s">
        <v>27</v>
      </c>
      <c r="B71" s="41" t="s">
        <v>21</v>
      </c>
      <c r="C71" s="42">
        <v>8165</v>
      </c>
      <c r="D71" s="42">
        <v>1140</v>
      </c>
      <c r="E71" s="42">
        <v>1177841</v>
      </c>
      <c r="F71" s="43">
        <f t="shared" si="6"/>
        <v>5.9643024822535473E-3</v>
      </c>
      <c r="G71" s="60">
        <v>9.095964565675672</v>
      </c>
      <c r="H71" s="44">
        <v>38228</v>
      </c>
      <c r="I71" s="42">
        <f t="shared" si="7"/>
        <v>7025</v>
      </c>
      <c r="J71" s="64">
        <f t="shared" si="5"/>
        <v>3143.3333333333335</v>
      </c>
    </row>
    <row r="72" spans="1:10" ht="14.25" customHeight="1" x14ac:dyDescent="0.3">
      <c r="A72" s="40" t="s">
        <v>197</v>
      </c>
      <c r="B72" s="41" t="s">
        <v>53</v>
      </c>
      <c r="C72" s="42">
        <v>8693</v>
      </c>
      <c r="D72" s="42">
        <v>1261</v>
      </c>
      <c r="E72" s="42">
        <v>111209</v>
      </c>
      <c r="F72" s="43">
        <f t="shared" si="6"/>
        <v>6.6829123542159363E-2</v>
      </c>
      <c r="G72" s="60">
        <v>69.475492091467416</v>
      </c>
      <c r="H72" s="44">
        <v>29873</v>
      </c>
      <c r="I72" s="42">
        <f t="shared" si="7"/>
        <v>7432</v>
      </c>
    </row>
    <row r="73" spans="1:10" ht="14.25" customHeight="1" x14ac:dyDescent="0.3">
      <c r="A73" s="40" t="s">
        <v>210</v>
      </c>
      <c r="B73" s="41" t="s">
        <v>53</v>
      </c>
      <c r="C73" s="42">
        <v>5225</v>
      </c>
      <c r="D73" s="42">
        <v>291</v>
      </c>
      <c r="E73" s="42">
        <v>146830</v>
      </c>
      <c r="F73" s="43">
        <f t="shared" si="6"/>
        <v>3.3603487025812166E-2</v>
      </c>
      <c r="G73" s="60">
        <v>19.551862698358651</v>
      </c>
      <c r="H73" s="44">
        <v>44546</v>
      </c>
      <c r="I73" s="42">
        <f t="shared" si="7"/>
        <v>4934</v>
      </c>
    </row>
    <row r="74" spans="1:10" ht="14.25" customHeight="1" x14ac:dyDescent="0.3">
      <c r="A74" s="40" t="s">
        <v>134</v>
      </c>
      <c r="B74" s="41" t="s">
        <v>53</v>
      </c>
      <c r="C74" s="42">
        <v>6907</v>
      </c>
      <c r="D74" s="42">
        <v>834</v>
      </c>
      <c r="E74" s="42">
        <v>163790</v>
      </c>
      <c r="F74" s="43">
        <f t="shared" si="6"/>
        <v>3.7077965687770928E-2</v>
      </c>
      <c r="G74" s="60">
        <v>54.158984064961238</v>
      </c>
      <c r="H74" s="44">
        <v>22087</v>
      </c>
      <c r="I74" s="42">
        <f t="shared" si="7"/>
        <v>6073</v>
      </c>
      <c r="J74" s="64">
        <f>AVERAGE(I72:I74)</f>
        <v>6146.333333333333</v>
      </c>
    </row>
    <row r="75" spans="1:10" ht="14.25" customHeight="1" x14ac:dyDescent="0.3">
      <c r="A75" s="40" t="s">
        <v>42</v>
      </c>
      <c r="B75" s="41" t="s">
        <v>53</v>
      </c>
      <c r="C75" s="42">
        <v>9984</v>
      </c>
      <c r="D75" s="42">
        <v>1330</v>
      </c>
      <c r="E75" s="42">
        <v>184850</v>
      </c>
      <c r="F75" s="43">
        <f t="shared" si="6"/>
        <v>4.6816337571003515E-2</v>
      </c>
      <c r="G75" s="60">
        <v>57.524479307546663</v>
      </c>
      <c r="H75" s="44">
        <v>44947</v>
      </c>
      <c r="I75" s="42">
        <f t="shared" si="7"/>
        <v>8654</v>
      </c>
      <c r="J75" s="64">
        <f t="shared" ref="J75:J107" si="8">AVERAGE(I73:I75)</f>
        <v>6553.666666666667</v>
      </c>
    </row>
    <row r="76" spans="1:10" ht="14.25" customHeight="1" x14ac:dyDescent="0.3">
      <c r="A76" s="40" t="s">
        <v>404</v>
      </c>
      <c r="B76" s="41" t="s">
        <v>53</v>
      </c>
      <c r="C76" s="42">
        <v>9429</v>
      </c>
      <c r="D76" s="42">
        <v>966</v>
      </c>
      <c r="E76" s="42">
        <v>218723</v>
      </c>
      <c r="F76" s="43">
        <f t="shared" si="6"/>
        <v>3.8692775794040866E-2</v>
      </c>
      <c r="G76" s="60">
        <v>7.6914636320825887</v>
      </c>
      <c r="H76" s="44">
        <v>57639</v>
      </c>
      <c r="I76" s="42">
        <f t="shared" si="7"/>
        <v>8463</v>
      </c>
      <c r="J76" s="64">
        <f t="shared" si="8"/>
        <v>7730</v>
      </c>
    </row>
    <row r="77" spans="1:10" ht="14.25" customHeight="1" x14ac:dyDescent="0.3">
      <c r="A77" s="40" t="s">
        <v>532</v>
      </c>
      <c r="B77" s="41" t="s">
        <v>53</v>
      </c>
      <c r="C77" s="42">
        <v>8045</v>
      </c>
      <c r="D77" s="42">
        <v>894</v>
      </c>
      <c r="E77" s="42">
        <v>231802</v>
      </c>
      <c r="F77" s="43">
        <f t="shared" si="6"/>
        <v>3.084960440375838E-2</v>
      </c>
      <c r="G77" s="60">
        <v>47.634187798207087</v>
      </c>
      <c r="H77" s="44">
        <v>33705</v>
      </c>
      <c r="I77" s="42">
        <f t="shared" si="7"/>
        <v>7151</v>
      </c>
      <c r="J77" s="64">
        <f t="shared" si="8"/>
        <v>8089.333333333333</v>
      </c>
    </row>
    <row r="78" spans="1:10" ht="14.25" customHeight="1" x14ac:dyDescent="0.3">
      <c r="A78" s="40" t="s">
        <v>275</v>
      </c>
      <c r="B78" s="41" t="s">
        <v>53</v>
      </c>
      <c r="C78" s="42">
        <v>8137</v>
      </c>
      <c r="D78" s="42">
        <v>1045</v>
      </c>
      <c r="E78" s="42">
        <v>253858</v>
      </c>
      <c r="F78" s="43">
        <f t="shared" si="6"/>
        <v>2.7936878097203948E-2</v>
      </c>
      <c r="G78" s="60">
        <v>20.47246886054408</v>
      </c>
      <c r="H78" s="44">
        <v>12023</v>
      </c>
      <c r="I78" s="42">
        <f t="shared" si="7"/>
        <v>7092</v>
      </c>
      <c r="J78" s="64">
        <f t="shared" si="8"/>
        <v>7568.666666666667</v>
      </c>
    </row>
    <row r="79" spans="1:10" ht="14.25" customHeight="1" x14ac:dyDescent="0.3">
      <c r="A79" s="40" t="s">
        <v>533</v>
      </c>
      <c r="B79" s="41" t="s">
        <v>53</v>
      </c>
      <c r="C79" s="42">
        <v>8179</v>
      </c>
      <c r="D79" s="42">
        <v>446</v>
      </c>
      <c r="E79" s="42">
        <v>272227</v>
      </c>
      <c r="F79" s="43">
        <f t="shared" si="6"/>
        <v>2.8406440213498294E-2</v>
      </c>
      <c r="G79" s="60">
        <v>41.82171496581897</v>
      </c>
      <c r="H79" s="44">
        <v>43848</v>
      </c>
      <c r="I79" s="42">
        <f t="shared" si="7"/>
        <v>7733</v>
      </c>
      <c r="J79" s="64">
        <f t="shared" si="8"/>
        <v>7325.333333333333</v>
      </c>
    </row>
    <row r="80" spans="1:10" ht="14.25" customHeight="1" x14ac:dyDescent="0.3">
      <c r="A80" s="40" t="s">
        <v>230</v>
      </c>
      <c r="B80" s="41" t="s">
        <v>53</v>
      </c>
      <c r="C80" s="42">
        <v>6947</v>
      </c>
      <c r="D80" s="42">
        <v>908</v>
      </c>
      <c r="E80" s="42">
        <v>306304</v>
      </c>
      <c r="F80" s="43">
        <f t="shared" si="6"/>
        <v>1.9715707271207691E-2</v>
      </c>
      <c r="G80" s="60">
        <v>14.117673944839121</v>
      </c>
      <c r="H80" s="44">
        <v>46060</v>
      </c>
      <c r="I80" s="42">
        <f t="shared" si="7"/>
        <v>6039</v>
      </c>
      <c r="J80" s="64">
        <f t="shared" si="8"/>
        <v>6954.666666666667</v>
      </c>
    </row>
    <row r="81" spans="1:10" ht="14.25" customHeight="1" x14ac:dyDescent="0.3">
      <c r="A81" s="40" t="s">
        <v>446</v>
      </c>
      <c r="B81" s="41" t="s">
        <v>53</v>
      </c>
      <c r="C81" s="42">
        <v>3719</v>
      </c>
      <c r="D81" s="42">
        <v>222</v>
      </c>
      <c r="E81" s="42">
        <v>313014</v>
      </c>
      <c r="F81" s="43">
        <f t="shared" si="6"/>
        <v>1.1172024254506188E-2</v>
      </c>
      <c r="G81" s="60">
        <v>21.669318305251519</v>
      </c>
      <c r="H81" s="44">
        <v>13586</v>
      </c>
      <c r="I81" s="42">
        <f t="shared" si="7"/>
        <v>3497</v>
      </c>
      <c r="J81" s="64">
        <f t="shared" si="8"/>
        <v>5756.333333333333</v>
      </c>
    </row>
    <row r="82" spans="1:10" ht="14.25" customHeight="1" x14ac:dyDescent="0.3">
      <c r="A82" s="40" t="s">
        <v>33</v>
      </c>
      <c r="B82" s="41" t="s">
        <v>53</v>
      </c>
      <c r="C82" s="42">
        <v>6179</v>
      </c>
      <c r="D82" s="42">
        <v>384</v>
      </c>
      <c r="E82" s="42">
        <v>326199</v>
      </c>
      <c r="F82" s="43">
        <f t="shared" si="6"/>
        <v>1.7765229200580015E-2</v>
      </c>
      <c r="G82" s="60">
        <v>14.71218489327067</v>
      </c>
      <c r="H82" s="44">
        <v>33225</v>
      </c>
      <c r="I82" s="42">
        <f t="shared" si="7"/>
        <v>5795</v>
      </c>
      <c r="J82" s="64">
        <f t="shared" si="8"/>
        <v>5110.333333333333</v>
      </c>
    </row>
    <row r="83" spans="1:10" ht="14.25" customHeight="1" x14ac:dyDescent="0.3">
      <c r="A83" s="40" t="s">
        <v>67</v>
      </c>
      <c r="B83" s="41" t="s">
        <v>53</v>
      </c>
      <c r="C83" s="42">
        <v>6175</v>
      </c>
      <c r="D83" s="42">
        <v>422</v>
      </c>
      <c r="E83" s="42">
        <v>377618</v>
      </c>
      <c r="F83" s="43">
        <f t="shared" si="6"/>
        <v>1.523497290913039E-2</v>
      </c>
      <c r="G83" s="60">
        <v>37.86101298137271</v>
      </c>
      <c r="H83" s="44">
        <v>59745</v>
      </c>
      <c r="I83" s="42">
        <f t="shared" si="7"/>
        <v>5753</v>
      </c>
      <c r="J83" s="64">
        <f t="shared" si="8"/>
        <v>5015</v>
      </c>
    </row>
    <row r="84" spans="1:10" ht="14.25" customHeight="1" x14ac:dyDescent="0.3">
      <c r="A84" s="40" t="s">
        <v>164</v>
      </c>
      <c r="B84" s="41" t="s">
        <v>53</v>
      </c>
      <c r="C84" s="42">
        <v>7406</v>
      </c>
      <c r="D84" s="42">
        <v>813</v>
      </c>
      <c r="E84" s="42">
        <v>405141</v>
      </c>
      <c r="F84" s="43">
        <f t="shared" si="6"/>
        <v>1.6273346810122897E-2</v>
      </c>
      <c r="G84" s="60">
        <v>24.457411123534769</v>
      </c>
      <c r="H84" s="44">
        <v>13390</v>
      </c>
      <c r="I84" s="42">
        <f t="shared" si="7"/>
        <v>6593</v>
      </c>
      <c r="J84" s="64">
        <f t="shared" si="8"/>
        <v>6047</v>
      </c>
    </row>
    <row r="85" spans="1:10" ht="14.25" customHeight="1" x14ac:dyDescent="0.3">
      <c r="A85" s="40" t="s">
        <v>534</v>
      </c>
      <c r="B85" s="41" t="s">
        <v>53</v>
      </c>
      <c r="C85" s="42">
        <v>4292</v>
      </c>
      <c r="D85" s="42">
        <v>367</v>
      </c>
      <c r="E85" s="42">
        <v>453977</v>
      </c>
      <c r="F85" s="43">
        <f t="shared" si="6"/>
        <v>8.6458124530537899E-3</v>
      </c>
      <c r="G85" s="60">
        <v>3.5037017293827661</v>
      </c>
      <c r="H85" s="44">
        <v>53934</v>
      </c>
      <c r="I85" s="42">
        <f t="shared" si="7"/>
        <v>3925</v>
      </c>
      <c r="J85" s="64">
        <f t="shared" si="8"/>
        <v>5423.666666666667</v>
      </c>
    </row>
    <row r="86" spans="1:10" ht="14.25" customHeight="1" x14ac:dyDescent="0.3">
      <c r="A86" s="40" t="s">
        <v>535</v>
      </c>
      <c r="B86" s="41" t="s">
        <v>53</v>
      </c>
      <c r="C86" s="42">
        <v>5517</v>
      </c>
      <c r="D86" s="42">
        <v>575</v>
      </c>
      <c r="E86" s="42">
        <v>460228</v>
      </c>
      <c r="F86" s="43">
        <f t="shared" si="6"/>
        <v>1.07381558705685E-2</v>
      </c>
      <c r="G86" s="60">
        <v>29.45844233727631</v>
      </c>
      <c r="H86" s="44">
        <v>20258</v>
      </c>
      <c r="I86" s="42">
        <f t="shared" si="7"/>
        <v>4942</v>
      </c>
      <c r="J86" s="64">
        <f t="shared" si="8"/>
        <v>5153.333333333333</v>
      </c>
    </row>
    <row r="87" spans="1:10" ht="14.25" customHeight="1" x14ac:dyDescent="0.3">
      <c r="A87" s="40" t="s">
        <v>536</v>
      </c>
      <c r="B87" s="41" t="s">
        <v>53</v>
      </c>
      <c r="C87" s="42">
        <v>6693</v>
      </c>
      <c r="D87" s="42">
        <v>995</v>
      </c>
      <c r="E87" s="42">
        <v>486018</v>
      </c>
      <c r="F87" s="43">
        <f t="shared" si="6"/>
        <v>1.1723845618886543E-2</v>
      </c>
      <c r="G87" s="60">
        <v>23.761877132122681</v>
      </c>
      <c r="H87" s="44">
        <v>38854</v>
      </c>
      <c r="I87" s="42">
        <f t="shared" si="7"/>
        <v>5698</v>
      </c>
      <c r="J87" s="64">
        <f t="shared" si="8"/>
        <v>4855</v>
      </c>
    </row>
    <row r="88" spans="1:10" ht="14.25" customHeight="1" x14ac:dyDescent="0.3">
      <c r="A88" s="40" t="s">
        <v>538</v>
      </c>
      <c r="B88" s="41" t="s">
        <v>53</v>
      </c>
      <c r="C88" s="42">
        <v>8898</v>
      </c>
      <c r="D88" s="42">
        <v>1131</v>
      </c>
      <c r="E88" s="42">
        <v>515737</v>
      </c>
      <c r="F88" s="43">
        <f t="shared" si="6"/>
        <v>1.5060001512398761E-2</v>
      </c>
      <c r="G88" s="60">
        <v>2.1877429775253669</v>
      </c>
      <c r="H88" s="44">
        <v>35051</v>
      </c>
      <c r="I88" s="42">
        <f t="shared" si="7"/>
        <v>7767</v>
      </c>
      <c r="J88" s="64">
        <f t="shared" si="8"/>
        <v>6135.666666666667</v>
      </c>
    </row>
    <row r="89" spans="1:10" ht="14.25" customHeight="1" x14ac:dyDescent="0.3">
      <c r="A89" s="40" t="s">
        <v>242</v>
      </c>
      <c r="B89" s="41" t="s">
        <v>53</v>
      </c>
      <c r="C89" s="42">
        <v>8380</v>
      </c>
      <c r="D89" s="42">
        <v>1162</v>
      </c>
      <c r="E89" s="42">
        <v>596704</v>
      </c>
      <c r="F89" s="43">
        <f t="shared" si="6"/>
        <v>1.2096449831072022E-2</v>
      </c>
      <c r="G89" s="60">
        <v>18.05853488496809</v>
      </c>
      <c r="H89" s="44">
        <v>40447</v>
      </c>
      <c r="I89" s="42">
        <f t="shared" si="7"/>
        <v>7218</v>
      </c>
      <c r="J89" s="64">
        <f t="shared" si="8"/>
        <v>6894.333333333333</v>
      </c>
    </row>
    <row r="90" spans="1:10" ht="14.25" customHeight="1" x14ac:dyDescent="0.3">
      <c r="A90" s="40" t="s">
        <v>539</v>
      </c>
      <c r="B90" s="41" t="s">
        <v>53</v>
      </c>
      <c r="C90" s="42">
        <v>1163</v>
      </c>
      <c r="D90" s="42">
        <v>146</v>
      </c>
      <c r="E90" s="42">
        <v>607188</v>
      </c>
      <c r="F90" s="43">
        <f t="shared" si="6"/>
        <v>1.6749342872388782E-3</v>
      </c>
      <c r="G90" s="60">
        <v>21.77776899411715</v>
      </c>
      <c r="H90" s="44">
        <v>28509</v>
      </c>
      <c r="I90" s="42">
        <f t="shared" si="7"/>
        <v>1017</v>
      </c>
      <c r="J90" s="64">
        <f t="shared" si="8"/>
        <v>5334</v>
      </c>
    </row>
    <row r="91" spans="1:10" ht="14.25" customHeight="1" x14ac:dyDescent="0.3">
      <c r="A91" s="40" t="s">
        <v>62</v>
      </c>
      <c r="B91" s="41" t="s">
        <v>53</v>
      </c>
      <c r="C91" s="42">
        <v>7036</v>
      </c>
      <c r="D91" s="42">
        <v>652</v>
      </c>
      <c r="E91" s="42">
        <v>637512</v>
      </c>
      <c r="F91" s="43">
        <f t="shared" si="6"/>
        <v>1.0013929149568949E-2</v>
      </c>
      <c r="G91" s="60">
        <v>3.5705994553828009</v>
      </c>
      <c r="H91" s="44">
        <v>51796</v>
      </c>
      <c r="I91" s="42">
        <f t="shared" si="7"/>
        <v>6384</v>
      </c>
      <c r="J91" s="64">
        <f t="shared" si="8"/>
        <v>4873</v>
      </c>
    </row>
    <row r="92" spans="1:10" ht="14.25" customHeight="1" x14ac:dyDescent="0.3">
      <c r="A92" s="40" t="s">
        <v>187</v>
      </c>
      <c r="B92" s="41" t="s">
        <v>53</v>
      </c>
      <c r="C92" s="42">
        <v>7164</v>
      </c>
      <c r="D92" s="42">
        <v>522</v>
      </c>
      <c r="E92" s="42">
        <v>700757</v>
      </c>
      <c r="F92" s="43">
        <f t="shared" si="6"/>
        <v>9.4783213011072308E-3</v>
      </c>
      <c r="G92" s="60">
        <v>13.449169969047761</v>
      </c>
      <c r="H92" s="44">
        <v>34570</v>
      </c>
      <c r="I92" s="42">
        <f t="shared" si="7"/>
        <v>6642</v>
      </c>
      <c r="J92" s="64">
        <f t="shared" si="8"/>
        <v>4681</v>
      </c>
    </row>
    <row r="93" spans="1:10" ht="14.25" customHeight="1" x14ac:dyDescent="0.3">
      <c r="A93" s="40" t="s">
        <v>97</v>
      </c>
      <c r="B93" s="41" t="s">
        <v>53</v>
      </c>
      <c r="C93" s="42">
        <v>7272</v>
      </c>
      <c r="D93" s="42">
        <v>997</v>
      </c>
      <c r="E93" s="42">
        <v>729561</v>
      </c>
      <c r="F93" s="43">
        <f t="shared" si="6"/>
        <v>8.6010628309353167E-3</v>
      </c>
      <c r="G93" s="60">
        <v>13.428486445958599</v>
      </c>
      <c r="H93" s="44">
        <v>26370</v>
      </c>
      <c r="I93" s="42">
        <f t="shared" si="7"/>
        <v>6275</v>
      </c>
      <c r="J93" s="64">
        <f t="shared" si="8"/>
        <v>6433.666666666667</v>
      </c>
    </row>
    <row r="94" spans="1:10" ht="14.25" customHeight="1" x14ac:dyDescent="0.3">
      <c r="A94" s="40" t="s">
        <v>541</v>
      </c>
      <c r="B94" s="41" t="s">
        <v>53</v>
      </c>
      <c r="C94" s="42">
        <v>3279</v>
      </c>
      <c r="D94" s="42">
        <v>200</v>
      </c>
      <c r="E94" s="42">
        <v>772614</v>
      </c>
      <c r="F94" s="43">
        <f t="shared" si="6"/>
        <v>3.9851724146857288E-3</v>
      </c>
      <c r="G94" s="60">
        <v>5.0212654702089274</v>
      </c>
      <c r="H94" s="44">
        <v>53363</v>
      </c>
      <c r="I94" s="42">
        <f t="shared" si="7"/>
        <v>3079</v>
      </c>
      <c r="J94" s="64">
        <f t="shared" si="8"/>
        <v>5332</v>
      </c>
    </row>
    <row r="95" spans="1:10" ht="14.25" customHeight="1" x14ac:dyDescent="0.3">
      <c r="A95" s="40" t="s">
        <v>107</v>
      </c>
      <c r="B95" s="41" t="s">
        <v>53</v>
      </c>
      <c r="C95" s="42">
        <v>8451</v>
      </c>
      <c r="D95" s="42">
        <v>783</v>
      </c>
      <c r="E95" s="42">
        <v>789536</v>
      </c>
      <c r="F95" s="43">
        <f t="shared" si="6"/>
        <v>9.7120333968305442E-3</v>
      </c>
      <c r="G95" s="60">
        <v>12.407287318121019</v>
      </c>
      <c r="H95" s="44">
        <v>36201</v>
      </c>
      <c r="I95" s="42">
        <f t="shared" si="7"/>
        <v>7668</v>
      </c>
      <c r="J95" s="64">
        <f t="shared" si="8"/>
        <v>5674</v>
      </c>
    </row>
    <row r="96" spans="1:10" ht="14.25" customHeight="1" x14ac:dyDescent="0.3">
      <c r="A96" s="40" t="s">
        <v>542</v>
      </c>
      <c r="B96" s="41" t="s">
        <v>53</v>
      </c>
      <c r="C96" s="42">
        <v>8088</v>
      </c>
      <c r="D96" s="42">
        <v>742</v>
      </c>
      <c r="E96" s="42">
        <v>817407</v>
      </c>
      <c r="F96" s="43">
        <f t="shared" si="6"/>
        <v>8.9869550909155421E-3</v>
      </c>
      <c r="G96" s="60">
        <v>14.664542877660701</v>
      </c>
      <c r="H96" s="44">
        <v>39312</v>
      </c>
      <c r="I96" s="42">
        <f t="shared" si="7"/>
        <v>7346</v>
      </c>
      <c r="J96" s="64">
        <f t="shared" si="8"/>
        <v>6031</v>
      </c>
    </row>
    <row r="97" spans="1:10" ht="14.25" customHeight="1" x14ac:dyDescent="0.3">
      <c r="A97" s="40" t="s">
        <v>543</v>
      </c>
      <c r="B97" s="41" t="s">
        <v>53</v>
      </c>
      <c r="C97" s="42">
        <v>9080</v>
      </c>
      <c r="D97" s="42">
        <v>562</v>
      </c>
      <c r="E97" s="42">
        <v>826926</v>
      </c>
      <c r="F97" s="43">
        <f t="shared" si="6"/>
        <v>1.0300800797169276E-2</v>
      </c>
      <c r="G97" s="60">
        <v>7.1083748727213809</v>
      </c>
      <c r="H97" s="44">
        <v>13384</v>
      </c>
      <c r="I97" s="42">
        <f t="shared" si="7"/>
        <v>8518</v>
      </c>
      <c r="J97" s="64">
        <f t="shared" si="8"/>
        <v>7844</v>
      </c>
    </row>
    <row r="98" spans="1:10" ht="14.25" customHeight="1" x14ac:dyDescent="0.3">
      <c r="A98" s="40" t="s">
        <v>190</v>
      </c>
      <c r="B98" s="41" t="s">
        <v>53</v>
      </c>
      <c r="C98" s="42">
        <v>7230</v>
      </c>
      <c r="D98" s="42">
        <v>869</v>
      </c>
      <c r="E98" s="42">
        <v>859838</v>
      </c>
      <c r="F98" s="43">
        <f t="shared" ref="F98:F129" si="9">(C98-D98)/E98</f>
        <v>7.397905186791E-3</v>
      </c>
      <c r="G98" s="60">
        <v>7.0117859410726204</v>
      </c>
      <c r="H98" s="44">
        <v>56907</v>
      </c>
      <c r="I98" s="42">
        <f t="shared" ref="I98:I129" si="10">(C98-D98)</f>
        <v>6361</v>
      </c>
      <c r="J98" s="64">
        <f t="shared" si="8"/>
        <v>7408.333333333333</v>
      </c>
    </row>
    <row r="99" spans="1:10" ht="14.25" customHeight="1" x14ac:dyDescent="0.3">
      <c r="A99" s="40" t="s">
        <v>544</v>
      </c>
      <c r="B99" s="41" t="s">
        <v>53</v>
      </c>
      <c r="C99" s="42">
        <v>8788</v>
      </c>
      <c r="D99" s="42">
        <v>660</v>
      </c>
      <c r="E99" s="42">
        <v>880842</v>
      </c>
      <c r="F99" s="43">
        <f t="shared" si="9"/>
        <v>9.2275345635199051E-3</v>
      </c>
      <c r="G99" s="60">
        <v>3.7175793161543158</v>
      </c>
      <c r="H99" s="44">
        <v>17710</v>
      </c>
      <c r="I99" s="42">
        <f t="shared" si="10"/>
        <v>8128</v>
      </c>
      <c r="J99" s="64">
        <f t="shared" si="8"/>
        <v>7669</v>
      </c>
    </row>
    <row r="100" spans="1:10" ht="14.25" customHeight="1" x14ac:dyDescent="0.3">
      <c r="A100" s="40" t="s">
        <v>448</v>
      </c>
      <c r="B100" s="41" t="s">
        <v>53</v>
      </c>
      <c r="C100" s="42">
        <v>1147</v>
      </c>
      <c r="D100" s="42">
        <v>127</v>
      </c>
      <c r="E100" s="42">
        <v>904407</v>
      </c>
      <c r="F100" s="43">
        <f t="shared" si="9"/>
        <v>1.1278108196862695E-3</v>
      </c>
      <c r="G100" s="60">
        <v>1.3997016829812241</v>
      </c>
      <c r="H100" s="44">
        <v>25261</v>
      </c>
      <c r="I100" s="42">
        <f t="shared" si="10"/>
        <v>1020</v>
      </c>
      <c r="J100" s="64">
        <f t="shared" si="8"/>
        <v>5169.666666666667</v>
      </c>
    </row>
    <row r="101" spans="1:10" ht="14.25" customHeight="1" x14ac:dyDescent="0.3">
      <c r="A101" s="40" t="s">
        <v>109</v>
      </c>
      <c r="B101" s="41" t="s">
        <v>53</v>
      </c>
      <c r="C101" s="42">
        <v>1365</v>
      </c>
      <c r="D101" s="42">
        <v>75</v>
      </c>
      <c r="E101" s="42">
        <v>912374</v>
      </c>
      <c r="F101" s="43">
        <f t="shared" si="9"/>
        <v>1.4138938637006315E-3</v>
      </c>
      <c r="G101" s="60">
        <v>9.2688963078737441</v>
      </c>
      <c r="H101" s="44">
        <v>19067</v>
      </c>
      <c r="I101" s="42">
        <f t="shared" si="10"/>
        <v>1290</v>
      </c>
      <c r="J101" s="64">
        <f t="shared" si="8"/>
        <v>3479.3333333333335</v>
      </c>
    </row>
    <row r="102" spans="1:10" ht="14.25" customHeight="1" x14ac:dyDescent="0.3">
      <c r="A102" s="40" t="s">
        <v>166</v>
      </c>
      <c r="B102" s="41" t="s">
        <v>53</v>
      </c>
      <c r="C102" s="42">
        <v>2246</v>
      </c>
      <c r="D102" s="42">
        <v>165</v>
      </c>
      <c r="E102" s="42">
        <v>975533</v>
      </c>
      <c r="F102" s="43">
        <f t="shared" si="9"/>
        <v>2.1331928289458173E-3</v>
      </c>
      <c r="G102" s="60">
        <v>2.9062061457685191</v>
      </c>
      <c r="H102" s="44">
        <v>27015</v>
      </c>
      <c r="I102" s="42">
        <f t="shared" si="10"/>
        <v>2081</v>
      </c>
      <c r="J102" s="64">
        <f t="shared" si="8"/>
        <v>1463.6666666666667</v>
      </c>
    </row>
    <row r="103" spans="1:10" ht="14.25" customHeight="1" x14ac:dyDescent="0.3">
      <c r="A103" s="40" t="s">
        <v>545</v>
      </c>
      <c r="B103" s="41" t="s">
        <v>53</v>
      </c>
      <c r="C103" s="42">
        <v>9551</v>
      </c>
      <c r="D103" s="42">
        <v>828</v>
      </c>
      <c r="E103" s="42">
        <v>988501</v>
      </c>
      <c r="F103" s="43">
        <f t="shared" si="9"/>
        <v>8.8244726105487E-3</v>
      </c>
      <c r="G103" s="60">
        <v>1.525036393488727</v>
      </c>
      <c r="H103" s="44">
        <v>38047</v>
      </c>
      <c r="I103" s="42">
        <f t="shared" si="10"/>
        <v>8723</v>
      </c>
      <c r="J103" s="64">
        <f t="shared" si="8"/>
        <v>4031.3333333333335</v>
      </c>
    </row>
    <row r="104" spans="1:10" ht="14.25" customHeight="1" x14ac:dyDescent="0.3">
      <c r="A104" s="40" t="s">
        <v>547</v>
      </c>
      <c r="B104" s="41" t="s">
        <v>53</v>
      </c>
      <c r="C104" s="42">
        <v>6978</v>
      </c>
      <c r="D104" s="42">
        <v>706</v>
      </c>
      <c r="E104" s="42">
        <v>1057293</v>
      </c>
      <c r="F104" s="43">
        <f t="shared" si="9"/>
        <v>5.9321304501212058E-3</v>
      </c>
      <c r="G104" s="60">
        <v>5.057443868445171</v>
      </c>
      <c r="H104" s="44">
        <v>28681</v>
      </c>
      <c r="I104" s="42">
        <f t="shared" si="10"/>
        <v>6272</v>
      </c>
      <c r="J104" s="64">
        <f t="shared" si="8"/>
        <v>5692</v>
      </c>
    </row>
    <row r="105" spans="1:10" ht="14.25" customHeight="1" x14ac:dyDescent="0.3">
      <c r="A105" s="40" t="s">
        <v>364</v>
      </c>
      <c r="B105" s="41" t="s">
        <v>53</v>
      </c>
      <c r="C105" s="42">
        <v>9714</v>
      </c>
      <c r="D105" s="42">
        <v>1395</v>
      </c>
      <c r="E105" s="42">
        <v>1085943</v>
      </c>
      <c r="F105" s="43">
        <f t="shared" si="9"/>
        <v>7.6606230713766746E-3</v>
      </c>
      <c r="G105" s="60">
        <v>5.2243073531483697</v>
      </c>
      <c r="H105" s="44">
        <v>40682</v>
      </c>
      <c r="I105" s="42">
        <f t="shared" si="10"/>
        <v>8319</v>
      </c>
      <c r="J105" s="64">
        <f t="shared" si="8"/>
        <v>7771.333333333333</v>
      </c>
    </row>
    <row r="106" spans="1:10" ht="14.25" customHeight="1" x14ac:dyDescent="0.3">
      <c r="A106" s="40" t="s">
        <v>549</v>
      </c>
      <c r="B106" s="41" t="s">
        <v>53</v>
      </c>
      <c r="C106" s="42">
        <v>8128</v>
      </c>
      <c r="D106" s="42">
        <v>1070</v>
      </c>
      <c r="E106" s="42">
        <v>1131337</v>
      </c>
      <c r="F106" s="43">
        <f t="shared" si="9"/>
        <v>6.2386362330587612E-3</v>
      </c>
      <c r="G106" s="60">
        <v>8.1114645768679008</v>
      </c>
      <c r="H106" s="44">
        <v>21918</v>
      </c>
      <c r="I106" s="42">
        <f t="shared" si="10"/>
        <v>7058</v>
      </c>
      <c r="J106" s="64">
        <f t="shared" si="8"/>
        <v>7216.333333333333</v>
      </c>
    </row>
    <row r="107" spans="1:10" ht="14.25" customHeight="1" x14ac:dyDescent="0.3">
      <c r="A107" s="40" t="s">
        <v>322</v>
      </c>
      <c r="B107" s="41" t="s">
        <v>53</v>
      </c>
      <c r="C107" s="42">
        <v>3160</v>
      </c>
      <c r="D107" s="42">
        <v>234</v>
      </c>
      <c r="E107" s="42">
        <v>1138871</v>
      </c>
      <c r="F107" s="43">
        <f t="shared" si="9"/>
        <v>2.5692110871204906E-3</v>
      </c>
      <c r="G107" s="60">
        <v>5.6959041015180816</v>
      </c>
      <c r="H107" s="44">
        <v>21929</v>
      </c>
      <c r="I107" s="42">
        <f t="shared" si="10"/>
        <v>2926</v>
      </c>
      <c r="J107" s="64">
        <f t="shared" si="8"/>
        <v>6101</v>
      </c>
    </row>
    <row r="108" spans="1:10" ht="14.25" customHeight="1" x14ac:dyDescent="0.3">
      <c r="A108" s="40" t="s">
        <v>27</v>
      </c>
      <c r="B108" s="41" t="s">
        <v>53</v>
      </c>
      <c r="C108" s="42">
        <v>8527</v>
      </c>
      <c r="D108" s="42">
        <v>1091</v>
      </c>
      <c r="E108" s="42">
        <v>1186398</v>
      </c>
      <c r="F108" s="43">
        <f t="shared" si="9"/>
        <v>6.267711172810473E-3</v>
      </c>
      <c r="G108" s="60">
        <v>1.676081719625286</v>
      </c>
      <c r="H108" s="44">
        <v>41703</v>
      </c>
      <c r="I108" s="42">
        <f t="shared" si="10"/>
        <v>7436</v>
      </c>
      <c r="J108" s="64">
        <f>AVERAGE(I106:I108)</f>
        <v>5806.666666666667</v>
      </c>
    </row>
    <row r="109" spans="1:10" ht="14.25" customHeight="1" x14ac:dyDescent="0.3">
      <c r="A109" s="40" t="s">
        <v>197</v>
      </c>
      <c r="B109" s="41" t="s">
        <v>14</v>
      </c>
      <c r="C109" s="42">
        <v>9264</v>
      </c>
      <c r="D109" s="42">
        <v>1141</v>
      </c>
      <c r="E109" s="42">
        <v>119332</v>
      </c>
      <c r="F109" s="43">
        <f t="shared" si="9"/>
        <v>6.8070592967519189E-2</v>
      </c>
      <c r="G109" s="60">
        <v>92.312204605638044</v>
      </c>
      <c r="H109" s="44">
        <v>50372</v>
      </c>
      <c r="I109" s="42">
        <f t="shared" si="10"/>
        <v>8123</v>
      </c>
    </row>
    <row r="110" spans="1:10" ht="14.25" customHeight="1" x14ac:dyDescent="0.3">
      <c r="A110" s="40" t="s">
        <v>210</v>
      </c>
      <c r="B110" s="41" t="s">
        <v>14</v>
      </c>
      <c r="C110" s="42">
        <v>8002</v>
      </c>
      <c r="D110" s="42">
        <v>524</v>
      </c>
      <c r="E110" s="42">
        <v>141896</v>
      </c>
      <c r="F110" s="43">
        <f t="shared" si="9"/>
        <v>5.270056943113266E-2</v>
      </c>
      <c r="G110" s="60">
        <v>52.064892597395271</v>
      </c>
      <c r="H110" s="44">
        <v>46751</v>
      </c>
      <c r="I110" s="42">
        <f t="shared" si="10"/>
        <v>7478</v>
      </c>
    </row>
    <row r="111" spans="1:10" ht="14.25" customHeight="1" x14ac:dyDescent="0.3">
      <c r="A111" s="40" t="s">
        <v>42</v>
      </c>
      <c r="B111" s="41" t="s">
        <v>14</v>
      </c>
      <c r="C111" s="42">
        <v>9286</v>
      </c>
      <c r="D111" s="42">
        <v>633</v>
      </c>
      <c r="E111" s="42">
        <v>198388</v>
      </c>
      <c r="F111" s="43">
        <f t="shared" si="9"/>
        <v>4.3616549388067825E-2</v>
      </c>
      <c r="G111" s="60">
        <v>5.4343004617214756</v>
      </c>
      <c r="H111" s="44">
        <v>48019</v>
      </c>
      <c r="I111" s="42">
        <f t="shared" si="10"/>
        <v>8653</v>
      </c>
      <c r="J111" s="64">
        <f>AVERAGE(I109:I111)</f>
        <v>8084.666666666667</v>
      </c>
    </row>
    <row r="112" spans="1:10" ht="14.25" customHeight="1" x14ac:dyDescent="0.3">
      <c r="A112" s="40" t="s">
        <v>275</v>
      </c>
      <c r="B112" s="41" t="s">
        <v>14</v>
      </c>
      <c r="C112" s="42">
        <v>1963</v>
      </c>
      <c r="D112" s="42">
        <v>137</v>
      </c>
      <c r="E112" s="42">
        <v>255684</v>
      </c>
      <c r="F112" s="43">
        <f t="shared" si="9"/>
        <v>7.1416279469970747E-3</v>
      </c>
      <c r="G112" s="60">
        <v>11.2083665774941</v>
      </c>
      <c r="H112" s="44">
        <v>24537</v>
      </c>
      <c r="I112" s="42">
        <f t="shared" si="10"/>
        <v>1826</v>
      </c>
      <c r="J112" s="64">
        <f t="shared" ref="J112:J141" si="11">AVERAGE(I110:I112)</f>
        <v>5985.666666666667</v>
      </c>
    </row>
    <row r="113" spans="1:10" ht="14.25" customHeight="1" x14ac:dyDescent="0.3">
      <c r="A113" s="40" t="s">
        <v>533</v>
      </c>
      <c r="B113" s="41" t="s">
        <v>14</v>
      </c>
      <c r="C113" s="42">
        <v>9734</v>
      </c>
      <c r="D113" s="42">
        <v>652</v>
      </c>
      <c r="E113" s="42">
        <v>289283</v>
      </c>
      <c r="F113" s="43">
        <f t="shared" si="9"/>
        <v>3.1394862470314533E-2</v>
      </c>
      <c r="G113" s="60">
        <v>49.647922622483861</v>
      </c>
      <c r="H113" s="44">
        <v>25379</v>
      </c>
      <c r="I113" s="42">
        <f t="shared" si="10"/>
        <v>9082</v>
      </c>
      <c r="J113" s="64">
        <f t="shared" si="11"/>
        <v>6520.333333333333</v>
      </c>
    </row>
    <row r="114" spans="1:10" ht="14.25" customHeight="1" x14ac:dyDescent="0.3">
      <c r="A114" s="40" t="s">
        <v>230</v>
      </c>
      <c r="B114" s="41" t="s">
        <v>14</v>
      </c>
      <c r="C114" s="42">
        <v>4036</v>
      </c>
      <c r="D114" s="42">
        <v>591</v>
      </c>
      <c r="E114" s="42">
        <v>300265</v>
      </c>
      <c r="F114" s="43">
        <f t="shared" si="9"/>
        <v>1.1473198674504187E-2</v>
      </c>
      <c r="G114" s="60">
        <v>44.219272975538267</v>
      </c>
      <c r="H114" s="44">
        <v>12563</v>
      </c>
      <c r="I114" s="42">
        <f t="shared" si="10"/>
        <v>3445</v>
      </c>
      <c r="J114" s="64">
        <f t="shared" si="11"/>
        <v>4784.333333333333</v>
      </c>
    </row>
    <row r="115" spans="1:10" ht="14.25" customHeight="1" x14ac:dyDescent="0.3">
      <c r="A115" s="40" t="s">
        <v>446</v>
      </c>
      <c r="B115" s="41" t="s">
        <v>14</v>
      </c>
      <c r="C115" s="42">
        <v>2884</v>
      </c>
      <c r="D115" s="42">
        <v>341</v>
      </c>
      <c r="E115" s="42">
        <v>315557</v>
      </c>
      <c r="F115" s="43">
        <f t="shared" si="9"/>
        <v>8.058765928184131E-3</v>
      </c>
      <c r="G115" s="60">
        <v>46.999749649033298</v>
      </c>
      <c r="H115" s="44">
        <v>26087</v>
      </c>
      <c r="I115" s="42">
        <f t="shared" si="10"/>
        <v>2543</v>
      </c>
      <c r="J115" s="64">
        <f t="shared" si="11"/>
        <v>5023.333333333333</v>
      </c>
    </row>
    <row r="116" spans="1:10" ht="14.25" customHeight="1" x14ac:dyDescent="0.3">
      <c r="A116" s="40" t="s">
        <v>33</v>
      </c>
      <c r="B116" s="41" t="s">
        <v>14</v>
      </c>
      <c r="C116" s="42">
        <v>7430</v>
      </c>
      <c r="D116" s="42">
        <v>397</v>
      </c>
      <c r="E116" s="42">
        <v>340085</v>
      </c>
      <c r="F116" s="43">
        <f t="shared" si="9"/>
        <v>2.0680124086625402E-2</v>
      </c>
      <c r="G116" s="60">
        <v>28.065042562888689</v>
      </c>
      <c r="H116" s="44">
        <v>16643</v>
      </c>
      <c r="I116" s="42">
        <f t="shared" si="10"/>
        <v>7033</v>
      </c>
      <c r="J116" s="64">
        <f t="shared" si="11"/>
        <v>4340.333333333333</v>
      </c>
    </row>
    <row r="117" spans="1:10" ht="14.25" customHeight="1" x14ac:dyDescent="0.3">
      <c r="A117" s="40" t="s">
        <v>72</v>
      </c>
      <c r="B117" s="41" t="s">
        <v>14</v>
      </c>
      <c r="C117" s="42">
        <v>5737</v>
      </c>
      <c r="D117" s="42">
        <v>666</v>
      </c>
      <c r="E117" s="42">
        <v>359081</v>
      </c>
      <c r="F117" s="43">
        <f t="shared" si="9"/>
        <v>1.4122161852061233E-2</v>
      </c>
      <c r="G117" s="60">
        <v>4.6034181702735593</v>
      </c>
      <c r="H117" s="44">
        <v>21005</v>
      </c>
      <c r="I117" s="42">
        <f t="shared" si="10"/>
        <v>5071</v>
      </c>
      <c r="J117" s="64">
        <f t="shared" si="11"/>
        <v>4882.333333333333</v>
      </c>
    </row>
    <row r="118" spans="1:10" ht="14.25" customHeight="1" x14ac:dyDescent="0.3">
      <c r="A118" s="40" t="s">
        <v>67</v>
      </c>
      <c r="B118" s="41" t="s">
        <v>14</v>
      </c>
      <c r="C118" s="42">
        <v>6078</v>
      </c>
      <c r="D118" s="42">
        <v>775</v>
      </c>
      <c r="E118" s="42">
        <v>391152</v>
      </c>
      <c r="F118" s="43">
        <f t="shared" si="9"/>
        <v>1.3557389454738823E-2</v>
      </c>
      <c r="G118" s="60">
        <v>37.760512537325639</v>
      </c>
      <c r="H118" s="44">
        <v>38731</v>
      </c>
      <c r="I118" s="42">
        <f t="shared" si="10"/>
        <v>5303</v>
      </c>
      <c r="J118" s="64">
        <f t="shared" si="11"/>
        <v>5802.333333333333</v>
      </c>
    </row>
    <row r="119" spans="1:10" ht="14.25" customHeight="1" x14ac:dyDescent="0.3">
      <c r="A119" s="40" t="s">
        <v>76</v>
      </c>
      <c r="B119" s="41" t="s">
        <v>14</v>
      </c>
      <c r="C119" s="42">
        <v>9800</v>
      </c>
      <c r="D119" s="42">
        <v>682</v>
      </c>
      <c r="E119" s="42">
        <v>429929</v>
      </c>
      <c r="F119" s="43">
        <f t="shared" si="9"/>
        <v>2.1208152974095722E-2</v>
      </c>
      <c r="G119" s="60">
        <v>6.2966210699906267</v>
      </c>
      <c r="H119" s="44">
        <v>59815</v>
      </c>
      <c r="I119" s="42">
        <f t="shared" si="10"/>
        <v>9118</v>
      </c>
      <c r="J119" s="64">
        <f t="shared" si="11"/>
        <v>6497.333333333333</v>
      </c>
    </row>
    <row r="120" spans="1:10" ht="14.25" customHeight="1" x14ac:dyDescent="0.3">
      <c r="A120" s="40" t="s">
        <v>534</v>
      </c>
      <c r="B120" s="41" t="s">
        <v>14</v>
      </c>
      <c r="C120" s="42">
        <v>7928</v>
      </c>
      <c r="D120" s="42">
        <v>704</v>
      </c>
      <c r="E120" s="42">
        <v>445769</v>
      </c>
      <c r="F120" s="43">
        <f t="shared" si="9"/>
        <v>1.6205702953772022E-2</v>
      </c>
      <c r="G120" s="60">
        <v>11.194362999670229</v>
      </c>
      <c r="H120" s="44">
        <v>31817</v>
      </c>
      <c r="I120" s="42">
        <f t="shared" si="10"/>
        <v>7224</v>
      </c>
      <c r="J120" s="64">
        <f t="shared" si="11"/>
        <v>7215</v>
      </c>
    </row>
    <row r="121" spans="1:10" ht="14.25" customHeight="1" x14ac:dyDescent="0.3">
      <c r="A121" s="40" t="s">
        <v>537</v>
      </c>
      <c r="B121" s="41" t="s">
        <v>14</v>
      </c>
      <c r="C121" s="42">
        <v>7140</v>
      </c>
      <c r="D121" s="42">
        <v>939</v>
      </c>
      <c r="E121" s="42">
        <v>499015</v>
      </c>
      <c r="F121" s="43">
        <f t="shared" si="9"/>
        <v>1.2426480165926877E-2</v>
      </c>
      <c r="G121" s="60">
        <v>25.120888149654821</v>
      </c>
      <c r="H121" s="44">
        <v>43598</v>
      </c>
      <c r="I121" s="42">
        <f t="shared" si="10"/>
        <v>6201</v>
      </c>
      <c r="J121" s="64">
        <f t="shared" si="11"/>
        <v>7514.333333333333</v>
      </c>
    </row>
    <row r="122" spans="1:10" ht="14.25" customHeight="1" x14ac:dyDescent="0.3">
      <c r="A122" s="40" t="s">
        <v>538</v>
      </c>
      <c r="B122" s="41" t="s">
        <v>14</v>
      </c>
      <c r="C122" s="42">
        <v>7548</v>
      </c>
      <c r="D122" s="42">
        <v>433</v>
      </c>
      <c r="E122" s="42">
        <v>522852</v>
      </c>
      <c r="F122" s="43">
        <f t="shared" si="9"/>
        <v>1.3608057347012157E-2</v>
      </c>
      <c r="G122" s="60">
        <v>8.3562843787534522</v>
      </c>
      <c r="H122" s="44">
        <v>37386</v>
      </c>
      <c r="I122" s="42">
        <f t="shared" si="10"/>
        <v>7115</v>
      </c>
      <c r="J122" s="64">
        <f t="shared" si="11"/>
        <v>6846.666666666667</v>
      </c>
    </row>
    <row r="123" spans="1:10" ht="14.25" customHeight="1" x14ac:dyDescent="0.3">
      <c r="A123" s="40" t="s">
        <v>138</v>
      </c>
      <c r="B123" s="41" t="s">
        <v>14</v>
      </c>
      <c r="C123" s="42">
        <v>7793</v>
      </c>
      <c r="D123" s="42">
        <v>875</v>
      </c>
      <c r="E123" s="42">
        <v>545824</v>
      </c>
      <c r="F123" s="43">
        <f t="shared" si="9"/>
        <v>1.267441519610717E-2</v>
      </c>
      <c r="G123" s="60">
        <v>5.5136820660139527</v>
      </c>
      <c r="H123" s="44">
        <v>43787</v>
      </c>
      <c r="I123" s="42">
        <f t="shared" si="10"/>
        <v>6918</v>
      </c>
      <c r="J123" s="64">
        <f t="shared" si="11"/>
        <v>6744.666666666667</v>
      </c>
    </row>
    <row r="124" spans="1:10" ht="14.25" customHeight="1" x14ac:dyDescent="0.3">
      <c r="A124" s="40" t="s">
        <v>169</v>
      </c>
      <c r="B124" s="41" t="s">
        <v>14</v>
      </c>
      <c r="C124" s="42">
        <v>7007</v>
      </c>
      <c r="D124" s="42">
        <v>568</v>
      </c>
      <c r="E124" s="42">
        <v>568671</v>
      </c>
      <c r="F124" s="43">
        <f t="shared" si="9"/>
        <v>1.1322891443382905E-2</v>
      </c>
      <c r="G124" s="60">
        <v>11.50507059442103</v>
      </c>
      <c r="H124" s="44">
        <v>22448</v>
      </c>
      <c r="I124" s="42">
        <f t="shared" si="10"/>
        <v>6439</v>
      </c>
      <c r="J124" s="64">
        <f t="shared" si="11"/>
        <v>6824</v>
      </c>
    </row>
    <row r="125" spans="1:10" ht="14.25" customHeight="1" x14ac:dyDescent="0.3">
      <c r="A125" s="40" t="s">
        <v>242</v>
      </c>
      <c r="B125" s="41" t="s">
        <v>14</v>
      </c>
      <c r="C125" s="42">
        <v>3385</v>
      </c>
      <c r="D125" s="42">
        <v>329</v>
      </c>
      <c r="E125" s="42">
        <v>599760</v>
      </c>
      <c r="F125" s="43">
        <f t="shared" si="9"/>
        <v>5.0953714819261036E-3</v>
      </c>
      <c r="G125" s="60">
        <v>17.61788048552755</v>
      </c>
      <c r="H125" s="44">
        <v>28394</v>
      </c>
      <c r="I125" s="42">
        <f t="shared" si="10"/>
        <v>3056</v>
      </c>
      <c r="J125" s="64">
        <f t="shared" si="11"/>
        <v>5471</v>
      </c>
    </row>
    <row r="126" spans="1:10" ht="14.25" customHeight="1" x14ac:dyDescent="0.3">
      <c r="A126" s="40" t="s">
        <v>539</v>
      </c>
      <c r="B126" s="41" t="s">
        <v>14</v>
      </c>
      <c r="C126" s="42">
        <v>5795</v>
      </c>
      <c r="D126" s="42">
        <v>575</v>
      </c>
      <c r="E126" s="42">
        <v>625922</v>
      </c>
      <c r="F126" s="43">
        <f t="shared" si="9"/>
        <v>8.3396972785746461E-3</v>
      </c>
      <c r="G126" s="60">
        <v>3.0908004511744269</v>
      </c>
      <c r="H126" s="44">
        <v>55657</v>
      </c>
      <c r="I126" s="42">
        <f t="shared" si="10"/>
        <v>5220</v>
      </c>
      <c r="J126" s="64">
        <f t="shared" si="11"/>
        <v>4905</v>
      </c>
    </row>
    <row r="127" spans="1:10" ht="14.25" customHeight="1" x14ac:dyDescent="0.3">
      <c r="A127" s="40" t="s">
        <v>461</v>
      </c>
      <c r="B127" s="41" t="s">
        <v>14</v>
      </c>
      <c r="C127" s="42">
        <v>5719</v>
      </c>
      <c r="D127" s="42">
        <v>576</v>
      </c>
      <c r="E127" s="42">
        <v>675785</v>
      </c>
      <c r="F127" s="43">
        <f t="shared" si="9"/>
        <v>7.6104086358827145E-3</v>
      </c>
      <c r="G127" s="60">
        <v>10.21656296011305</v>
      </c>
      <c r="H127" s="44">
        <v>38272</v>
      </c>
      <c r="I127" s="42">
        <f t="shared" si="10"/>
        <v>5143</v>
      </c>
      <c r="J127" s="64">
        <f t="shared" si="11"/>
        <v>4473</v>
      </c>
    </row>
    <row r="128" spans="1:10" ht="14.25" customHeight="1" x14ac:dyDescent="0.3">
      <c r="A128" s="40" t="s">
        <v>540</v>
      </c>
      <c r="B128" s="41" t="s">
        <v>14</v>
      </c>
      <c r="C128" s="42">
        <v>4493</v>
      </c>
      <c r="D128" s="42">
        <v>564</v>
      </c>
      <c r="E128" s="42">
        <v>694115</v>
      </c>
      <c r="F128" s="43">
        <f t="shared" si="9"/>
        <v>5.660445315257558E-3</v>
      </c>
      <c r="G128" s="60">
        <v>16.625487131094989</v>
      </c>
      <c r="H128" s="44">
        <v>45525</v>
      </c>
      <c r="I128" s="42">
        <f t="shared" si="10"/>
        <v>3929</v>
      </c>
      <c r="J128" s="64">
        <f t="shared" si="11"/>
        <v>4764</v>
      </c>
    </row>
    <row r="129" spans="1:10" ht="14.25" customHeight="1" x14ac:dyDescent="0.3">
      <c r="A129" s="40" t="s">
        <v>187</v>
      </c>
      <c r="B129" s="41" t="s">
        <v>14</v>
      </c>
      <c r="C129" s="42">
        <v>5200</v>
      </c>
      <c r="D129" s="42">
        <v>410</v>
      </c>
      <c r="E129" s="42">
        <v>709008</v>
      </c>
      <c r="F129" s="43">
        <f t="shared" si="9"/>
        <v>6.7559181278631555E-3</v>
      </c>
      <c r="G129" s="60">
        <v>12.913394489201821</v>
      </c>
      <c r="H129" s="44">
        <v>28994</v>
      </c>
      <c r="I129" s="42">
        <f t="shared" si="10"/>
        <v>4790</v>
      </c>
      <c r="J129" s="64">
        <f t="shared" si="11"/>
        <v>4620.666666666667</v>
      </c>
    </row>
    <row r="130" spans="1:10" ht="14.25" customHeight="1" x14ac:dyDescent="0.3">
      <c r="A130" s="40" t="s">
        <v>15</v>
      </c>
      <c r="B130" s="41" t="s">
        <v>14</v>
      </c>
      <c r="C130" s="42">
        <v>8177</v>
      </c>
      <c r="D130" s="42">
        <v>849</v>
      </c>
      <c r="E130" s="42">
        <v>748744</v>
      </c>
      <c r="F130" s="43">
        <f t="shared" ref="F130:F141" si="12">(C130-D130)/E130</f>
        <v>9.7870567243276748E-3</v>
      </c>
      <c r="G130" s="60">
        <v>10.34986590877523</v>
      </c>
      <c r="H130" s="44">
        <v>52963</v>
      </c>
      <c r="I130" s="42">
        <f t="shared" ref="I130:I141" si="13">(C130-D130)</f>
        <v>7328</v>
      </c>
      <c r="J130" s="64">
        <f t="shared" si="11"/>
        <v>5349</v>
      </c>
    </row>
    <row r="131" spans="1:10" ht="14.25" customHeight="1" x14ac:dyDescent="0.3">
      <c r="A131" s="40" t="s">
        <v>107</v>
      </c>
      <c r="B131" s="41" t="s">
        <v>14</v>
      </c>
      <c r="C131" s="42">
        <v>9906</v>
      </c>
      <c r="D131" s="42">
        <v>1305</v>
      </c>
      <c r="E131" s="42">
        <v>798137</v>
      </c>
      <c r="F131" s="43">
        <f t="shared" si="12"/>
        <v>1.0776345414383746E-2</v>
      </c>
      <c r="G131" s="60">
        <v>9.1811305577864442</v>
      </c>
      <c r="H131" s="44">
        <v>29715</v>
      </c>
      <c r="I131" s="42">
        <f t="shared" si="13"/>
        <v>8601</v>
      </c>
      <c r="J131" s="64">
        <f t="shared" si="11"/>
        <v>6906.333333333333</v>
      </c>
    </row>
    <row r="132" spans="1:10" ht="14.25" customHeight="1" x14ac:dyDescent="0.3">
      <c r="A132" s="40" t="s">
        <v>542</v>
      </c>
      <c r="B132" s="41" t="s">
        <v>14</v>
      </c>
      <c r="C132" s="42">
        <v>1078</v>
      </c>
      <c r="D132" s="42">
        <v>77</v>
      </c>
      <c r="E132" s="42">
        <v>818408</v>
      </c>
      <c r="F132" s="43">
        <f t="shared" si="12"/>
        <v>1.2231063234963489E-3</v>
      </c>
      <c r="G132" s="60">
        <v>18.236747441373989</v>
      </c>
      <c r="H132" s="44">
        <v>12839</v>
      </c>
      <c r="I132" s="42">
        <f t="shared" si="13"/>
        <v>1001</v>
      </c>
      <c r="J132" s="64">
        <f>AVERAGE(I130:I132)</f>
        <v>5643.333333333333</v>
      </c>
    </row>
    <row r="133" spans="1:10" ht="14.25" customHeight="1" x14ac:dyDescent="0.3">
      <c r="A133" s="40" t="s">
        <v>543</v>
      </c>
      <c r="B133" s="41" t="s">
        <v>14</v>
      </c>
      <c r="C133" s="42">
        <v>8340</v>
      </c>
      <c r="D133" s="42">
        <v>686</v>
      </c>
      <c r="E133" s="42">
        <v>846217</v>
      </c>
      <c r="F133" s="43">
        <f t="shared" si="12"/>
        <v>9.0449612806171465E-3</v>
      </c>
      <c r="G133" s="60">
        <v>7.201344336027284</v>
      </c>
      <c r="H133" s="44">
        <v>23493</v>
      </c>
      <c r="I133" s="42">
        <f t="shared" si="13"/>
        <v>7654</v>
      </c>
      <c r="J133" s="64">
        <f t="shared" si="11"/>
        <v>5752</v>
      </c>
    </row>
    <row r="134" spans="1:10" ht="14.25" customHeight="1" x14ac:dyDescent="0.3">
      <c r="A134" s="40" t="s">
        <v>544</v>
      </c>
      <c r="B134" s="41" t="s">
        <v>14</v>
      </c>
      <c r="C134" s="42">
        <v>4456</v>
      </c>
      <c r="D134" s="42">
        <v>651</v>
      </c>
      <c r="E134" s="42">
        <v>872714</v>
      </c>
      <c r="F134" s="43">
        <f t="shared" si="12"/>
        <v>4.3599621410908961E-3</v>
      </c>
      <c r="G134" s="60">
        <v>9.5052903929580594</v>
      </c>
      <c r="H134" s="44">
        <v>17736</v>
      </c>
      <c r="I134" s="42">
        <f t="shared" si="13"/>
        <v>3805</v>
      </c>
      <c r="J134" s="64">
        <f t="shared" si="11"/>
        <v>4153.333333333333</v>
      </c>
    </row>
    <row r="135" spans="1:10" ht="14.25" customHeight="1" x14ac:dyDescent="0.3">
      <c r="A135" s="40" t="s">
        <v>122</v>
      </c>
      <c r="B135" s="41" t="s">
        <v>14</v>
      </c>
      <c r="C135" s="42">
        <v>9964</v>
      </c>
      <c r="D135" s="42">
        <v>985</v>
      </c>
      <c r="E135" s="42">
        <v>947047</v>
      </c>
      <c r="F135" s="43">
        <f t="shared" si="12"/>
        <v>9.4810500429228957E-3</v>
      </c>
      <c r="G135" s="60">
        <v>1.9837452629066989</v>
      </c>
      <c r="H135" s="44">
        <v>47766</v>
      </c>
      <c r="I135" s="42">
        <f t="shared" si="13"/>
        <v>8979</v>
      </c>
      <c r="J135" s="64">
        <f t="shared" si="11"/>
        <v>6812.666666666667</v>
      </c>
    </row>
    <row r="136" spans="1:10" ht="14.25" customHeight="1" x14ac:dyDescent="0.3">
      <c r="A136" s="40" t="s">
        <v>166</v>
      </c>
      <c r="B136" s="41" t="s">
        <v>14</v>
      </c>
      <c r="C136" s="42">
        <v>7511</v>
      </c>
      <c r="D136" s="42">
        <v>880</v>
      </c>
      <c r="E136" s="42">
        <v>966020</v>
      </c>
      <c r="F136" s="43">
        <f t="shared" si="12"/>
        <v>6.8642471170369144E-3</v>
      </c>
      <c r="G136" s="60">
        <v>4.6083932009689246</v>
      </c>
      <c r="H136" s="44">
        <v>29675</v>
      </c>
      <c r="I136" s="42">
        <f t="shared" si="13"/>
        <v>6631</v>
      </c>
      <c r="J136" s="64">
        <f t="shared" si="11"/>
        <v>6471.666666666667</v>
      </c>
    </row>
    <row r="137" spans="1:10" ht="14.25" customHeight="1" x14ac:dyDescent="0.3">
      <c r="A137" s="40" t="s">
        <v>545</v>
      </c>
      <c r="B137" s="41" t="s">
        <v>14</v>
      </c>
      <c r="C137" s="42">
        <v>4009</v>
      </c>
      <c r="D137" s="42">
        <v>454</v>
      </c>
      <c r="E137" s="42">
        <v>995050</v>
      </c>
      <c r="F137" s="43">
        <f t="shared" si="12"/>
        <v>3.5726847897090599E-3</v>
      </c>
      <c r="G137" s="60">
        <v>2.1106477061454201</v>
      </c>
      <c r="H137" s="44">
        <v>19833</v>
      </c>
      <c r="I137" s="42">
        <f t="shared" si="13"/>
        <v>3555</v>
      </c>
      <c r="J137" s="64">
        <f t="shared" si="11"/>
        <v>6388.333333333333</v>
      </c>
    </row>
    <row r="138" spans="1:10" ht="14.25" customHeight="1" x14ac:dyDescent="0.3">
      <c r="A138" s="40" t="s">
        <v>349</v>
      </c>
      <c r="B138" s="41" t="s">
        <v>14</v>
      </c>
      <c r="C138" s="42">
        <v>4747</v>
      </c>
      <c r="D138" s="42">
        <v>558</v>
      </c>
      <c r="E138" s="42">
        <v>1041686</v>
      </c>
      <c r="F138" s="43">
        <f t="shared" si="12"/>
        <v>4.021365363458854E-3</v>
      </c>
      <c r="G138" s="60">
        <v>5.7680529449373434</v>
      </c>
      <c r="H138" s="44">
        <v>12643</v>
      </c>
      <c r="I138" s="42">
        <f t="shared" si="13"/>
        <v>4189</v>
      </c>
      <c r="J138" s="64">
        <f t="shared" si="11"/>
        <v>4791.666666666667</v>
      </c>
    </row>
    <row r="139" spans="1:10" ht="14.25" customHeight="1" x14ac:dyDescent="0.3">
      <c r="A139" s="40" t="s">
        <v>547</v>
      </c>
      <c r="B139" s="41" t="s">
        <v>14</v>
      </c>
      <c r="C139" s="42">
        <v>1769</v>
      </c>
      <c r="D139" s="42">
        <v>202</v>
      </c>
      <c r="E139" s="42">
        <v>1064988</v>
      </c>
      <c r="F139" s="43">
        <f t="shared" si="12"/>
        <v>1.4713780812553757E-3</v>
      </c>
      <c r="G139" s="60">
        <v>6.5457075572682513</v>
      </c>
      <c r="H139" s="44">
        <v>25892</v>
      </c>
      <c r="I139" s="42">
        <f t="shared" si="13"/>
        <v>1567</v>
      </c>
      <c r="J139" s="64">
        <f t="shared" si="11"/>
        <v>3103.6666666666665</v>
      </c>
    </row>
    <row r="140" spans="1:10" ht="14.25" customHeight="1" x14ac:dyDescent="0.3">
      <c r="A140" s="40" t="s">
        <v>364</v>
      </c>
      <c r="B140" s="41" t="s">
        <v>14</v>
      </c>
      <c r="C140" s="42">
        <v>7303</v>
      </c>
      <c r="D140" s="42">
        <v>869</v>
      </c>
      <c r="E140" s="42">
        <v>1073082</v>
      </c>
      <c r="F140" s="43">
        <f t="shared" si="12"/>
        <v>5.9958139266151145E-3</v>
      </c>
      <c r="G140" s="60">
        <v>8.1237966902808925</v>
      </c>
      <c r="H140" s="44">
        <v>27073</v>
      </c>
      <c r="I140" s="42">
        <f t="shared" si="13"/>
        <v>6434</v>
      </c>
      <c r="J140" s="64">
        <f t="shared" si="11"/>
        <v>4063.3333333333335</v>
      </c>
    </row>
    <row r="141" spans="1:10" ht="14.25" customHeight="1" x14ac:dyDescent="0.3">
      <c r="A141" s="40" t="s">
        <v>69</v>
      </c>
      <c r="B141" s="41" t="s">
        <v>14</v>
      </c>
      <c r="C141" s="42">
        <v>5875</v>
      </c>
      <c r="D141" s="42">
        <v>665</v>
      </c>
      <c r="E141" s="42">
        <v>1157985</v>
      </c>
      <c r="F141" s="43">
        <f t="shared" si="12"/>
        <v>4.4991947218659999E-3</v>
      </c>
      <c r="G141" s="60">
        <v>6.9871371390821126</v>
      </c>
      <c r="H141" s="44">
        <v>32669</v>
      </c>
      <c r="I141" s="42">
        <f t="shared" si="13"/>
        <v>5210</v>
      </c>
      <c r="J141" s="64">
        <f t="shared" si="11"/>
        <v>4403.666666666667</v>
      </c>
    </row>
    <row r="142" spans="1:10" ht="14.25" customHeight="1" x14ac:dyDescent="0.3">
      <c r="A142" s="45"/>
      <c r="I142" s="60"/>
    </row>
    <row r="143" spans="1:10" ht="14.25" customHeight="1" x14ac:dyDescent="0.3">
      <c r="I143" s="60"/>
    </row>
    <row r="144" spans="1:10" ht="14.25" customHeight="1" x14ac:dyDescent="0.3">
      <c r="I144" s="60"/>
    </row>
    <row r="145" spans="9:9" ht="14.25" customHeight="1" x14ac:dyDescent="0.3">
      <c r="I145" s="60"/>
    </row>
    <row r="146" spans="9:9" ht="14.25" customHeight="1" x14ac:dyDescent="0.3">
      <c r="I146" s="60"/>
    </row>
    <row r="147" spans="9:9" ht="14.25" customHeight="1" x14ac:dyDescent="0.3">
      <c r="I147" s="60"/>
    </row>
    <row r="148" spans="9:9" ht="14.25" customHeight="1" x14ac:dyDescent="0.3">
      <c r="I148" s="60"/>
    </row>
    <row r="149" spans="9:9" ht="14.25" customHeight="1" x14ac:dyDescent="0.3">
      <c r="I149" s="60"/>
    </row>
    <row r="150" spans="9:9" ht="14.25" customHeight="1" x14ac:dyDescent="0.3">
      <c r="I150" s="60"/>
    </row>
    <row r="151" spans="9:9" ht="14.25" customHeight="1" x14ac:dyDescent="0.3">
      <c r="I151" s="60"/>
    </row>
    <row r="152" spans="9:9" ht="14.25" customHeight="1" x14ac:dyDescent="0.3">
      <c r="I152" s="60"/>
    </row>
    <row r="153" spans="9:9" ht="14.25" customHeight="1" x14ac:dyDescent="0.3">
      <c r="I153" s="60"/>
    </row>
    <row r="154" spans="9:9" ht="14.25" customHeight="1" x14ac:dyDescent="0.3">
      <c r="I154" s="60"/>
    </row>
    <row r="155" spans="9:9" ht="14.25" customHeight="1" x14ac:dyDescent="0.3">
      <c r="I155" s="60"/>
    </row>
    <row r="156" spans="9:9" ht="14.25" customHeight="1" x14ac:dyDescent="0.3">
      <c r="I156" s="60"/>
    </row>
    <row r="157" spans="9:9" ht="14.25" customHeight="1" x14ac:dyDescent="0.3">
      <c r="I157" s="60"/>
    </row>
    <row r="158" spans="9:9" ht="14.25" customHeight="1" x14ac:dyDescent="0.3">
      <c r="I158" s="60"/>
    </row>
    <row r="159" spans="9:9" ht="14.25" customHeight="1" x14ac:dyDescent="0.3">
      <c r="I159" s="60"/>
    </row>
    <row r="160" spans="9:9" ht="14.25" customHeight="1" x14ac:dyDescent="0.3">
      <c r="I160" s="60"/>
    </row>
    <row r="161" spans="9:9" ht="14.25" customHeight="1" x14ac:dyDescent="0.3">
      <c r="I161" s="60"/>
    </row>
    <row r="162" spans="9:9" ht="14.25" customHeight="1" x14ac:dyDescent="0.3">
      <c r="I162" s="60"/>
    </row>
    <row r="163" spans="9:9" ht="14.25" customHeight="1" x14ac:dyDescent="0.3">
      <c r="I163" s="60"/>
    </row>
    <row r="164" spans="9:9" ht="14.25" customHeight="1" x14ac:dyDescent="0.3">
      <c r="I164" s="60"/>
    </row>
    <row r="165" spans="9:9" ht="14.25" customHeight="1" x14ac:dyDescent="0.3">
      <c r="I165" s="60"/>
    </row>
    <row r="166" spans="9:9" ht="14.25" customHeight="1" x14ac:dyDescent="0.3">
      <c r="I166" s="60"/>
    </row>
    <row r="167" spans="9:9" ht="14.25" customHeight="1" x14ac:dyDescent="0.3">
      <c r="I167" s="60"/>
    </row>
    <row r="168" spans="9:9" ht="14.25" customHeight="1" x14ac:dyDescent="0.3">
      <c r="I168" s="60"/>
    </row>
    <row r="169" spans="9:9" ht="14.25" customHeight="1" x14ac:dyDescent="0.3">
      <c r="I169" s="60"/>
    </row>
    <row r="170" spans="9:9" ht="14.25" customHeight="1" x14ac:dyDescent="0.3">
      <c r="I170" s="60"/>
    </row>
    <row r="171" spans="9:9" ht="14.25" customHeight="1" x14ac:dyDescent="0.3">
      <c r="I171" s="60"/>
    </row>
    <row r="172" spans="9:9" ht="14.25" customHeight="1" x14ac:dyDescent="0.3">
      <c r="I172" s="60"/>
    </row>
    <row r="173" spans="9:9" ht="14.25" customHeight="1" x14ac:dyDescent="0.3">
      <c r="I173" s="60"/>
    </row>
    <row r="174" spans="9:9" ht="14.25" customHeight="1" x14ac:dyDescent="0.3">
      <c r="I174" s="60"/>
    </row>
    <row r="175" spans="9:9" ht="14.25" customHeight="1" x14ac:dyDescent="0.3">
      <c r="I175" s="60"/>
    </row>
    <row r="176" spans="9:9" ht="14.25" customHeight="1" x14ac:dyDescent="0.3">
      <c r="I176" s="60"/>
    </row>
    <row r="177" spans="9:9" ht="14.25" customHeight="1" x14ac:dyDescent="0.3">
      <c r="I177" s="60"/>
    </row>
    <row r="178" spans="9:9" ht="14.25" customHeight="1" x14ac:dyDescent="0.3">
      <c r="I178" s="60"/>
    </row>
    <row r="179" spans="9:9" ht="14.25" customHeight="1" x14ac:dyDescent="0.3">
      <c r="I179" s="60"/>
    </row>
    <row r="180" spans="9:9" ht="14.25" customHeight="1" x14ac:dyDescent="0.3">
      <c r="I180" s="60"/>
    </row>
    <row r="181" spans="9:9" ht="14.25" customHeight="1" x14ac:dyDescent="0.3">
      <c r="I181" s="60"/>
    </row>
    <row r="182" spans="9:9" ht="14.25" customHeight="1" x14ac:dyDescent="0.3">
      <c r="I182" s="60"/>
    </row>
    <row r="183" spans="9:9" ht="14.25" customHeight="1" x14ac:dyDescent="0.3">
      <c r="I183" s="60"/>
    </row>
    <row r="184" spans="9:9" ht="14.25" customHeight="1" x14ac:dyDescent="0.3">
      <c r="I184" s="60"/>
    </row>
    <row r="185" spans="9:9" ht="14.25" customHeight="1" x14ac:dyDescent="0.3">
      <c r="I185" s="60"/>
    </row>
    <row r="186" spans="9:9" ht="14.25" customHeight="1" x14ac:dyDescent="0.3">
      <c r="I186" s="60"/>
    </row>
    <row r="187" spans="9:9" ht="14.25" customHeight="1" x14ac:dyDescent="0.3">
      <c r="I187" s="60"/>
    </row>
    <row r="188" spans="9:9" ht="14.25" customHeight="1" x14ac:dyDescent="0.3">
      <c r="I188" s="60"/>
    </row>
    <row r="189" spans="9:9" ht="14.25" customHeight="1" x14ac:dyDescent="0.3">
      <c r="I189" s="60"/>
    </row>
    <row r="190" spans="9:9" ht="14.25" customHeight="1" x14ac:dyDescent="0.3">
      <c r="I190" s="60"/>
    </row>
    <row r="191" spans="9:9" ht="14.25" customHeight="1" x14ac:dyDescent="0.3">
      <c r="I191" s="60"/>
    </row>
    <row r="192" spans="9:9" ht="14.25" customHeight="1" x14ac:dyDescent="0.3">
      <c r="I192" s="60"/>
    </row>
    <row r="193" spans="9:9" ht="14.25" customHeight="1" x14ac:dyDescent="0.3">
      <c r="I193" s="60"/>
    </row>
    <row r="194" spans="9:9" ht="14.25" customHeight="1" x14ac:dyDescent="0.3">
      <c r="I194" s="60"/>
    </row>
    <row r="195" spans="9:9" ht="14.25" customHeight="1" x14ac:dyDescent="0.3">
      <c r="I195" s="60"/>
    </row>
    <row r="196" spans="9:9" ht="14.25" customHeight="1" x14ac:dyDescent="0.3">
      <c r="I196" s="60"/>
    </row>
    <row r="197" spans="9:9" ht="14.25" customHeight="1" x14ac:dyDescent="0.3">
      <c r="I197" s="60"/>
    </row>
    <row r="198" spans="9:9" ht="14.25" customHeight="1" x14ac:dyDescent="0.3">
      <c r="I198" s="60"/>
    </row>
    <row r="199" spans="9:9" ht="14.25" customHeight="1" x14ac:dyDescent="0.3">
      <c r="I199" s="60"/>
    </row>
    <row r="200" spans="9:9" ht="14.25" customHeight="1" x14ac:dyDescent="0.3">
      <c r="I200" s="60"/>
    </row>
    <row r="201" spans="9:9" ht="14.25" customHeight="1" x14ac:dyDescent="0.3">
      <c r="I201" s="60"/>
    </row>
    <row r="202" spans="9:9" ht="14.25" customHeight="1" x14ac:dyDescent="0.3"/>
    <row r="203" spans="9:9" ht="14.25" customHeight="1" x14ac:dyDescent="0.3"/>
    <row r="204" spans="9:9" ht="14.25" customHeight="1" x14ac:dyDescent="0.3"/>
    <row r="205" spans="9:9" ht="14.25" customHeight="1" x14ac:dyDescent="0.3"/>
    <row r="206" spans="9:9" ht="14.25" customHeight="1" x14ac:dyDescent="0.3"/>
    <row r="207" spans="9:9" ht="14.25" customHeight="1" x14ac:dyDescent="0.3"/>
    <row r="208" spans="9:9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I141" xr:uid="{5BC09526-7FC9-4CA3-B912-9FCD8D99D7CD}">
    <sortState xmlns:xlrd2="http://schemas.microsoft.com/office/spreadsheetml/2017/richdata2" ref="A2:I141">
      <sortCondition ref="B1"/>
    </sortState>
  </autoFilter>
  <mergeCells count="1">
    <mergeCell ref="Y10:Y21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CB4A9-F2D9-4F3B-B65C-54207530F386}">
  <dimension ref="A1:I141"/>
  <sheetViews>
    <sheetView tabSelected="1" topLeftCell="I2" zoomScale="126" workbookViewId="0">
      <selection activeCell="U12" sqref="U12"/>
    </sheetView>
  </sheetViews>
  <sheetFormatPr defaultRowHeight="14.4" x14ac:dyDescent="0.3"/>
  <cols>
    <col min="1" max="1" width="20.88671875" customWidth="1"/>
    <col min="2" max="2" width="26.44140625" customWidth="1"/>
    <col min="3" max="3" width="20" customWidth="1"/>
    <col min="4" max="4" width="25.21875" customWidth="1"/>
    <col min="5" max="5" width="22.109375" customWidth="1"/>
    <col min="6" max="6" width="22.44140625" customWidth="1"/>
    <col min="7" max="7" width="23.5546875" customWidth="1"/>
    <col min="8" max="8" width="24.88671875" customWidth="1"/>
    <col min="9" max="9" width="25.5546875" customWidth="1"/>
  </cols>
  <sheetData>
    <row r="1" spans="1:9" x14ac:dyDescent="0.3">
      <c r="A1" s="35" t="s">
        <v>526</v>
      </c>
      <c r="B1" s="36" t="s">
        <v>1</v>
      </c>
      <c r="C1" s="37" t="s">
        <v>527</v>
      </c>
      <c r="D1" s="37" t="s">
        <v>528</v>
      </c>
      <c r="E1" s="37" t="s">
        <v>529</v>
      </c>
      <c r="F1" s="38" t="s">
        <v>551</v>
      </c>
      <c r="G1" s="59" t="s">
        <v>530</v>
      </c>
      <c r="H1" s="39" t="s">
        <v>531</v>
      </c>
      <c r="I1" s="55" t="s">
        <v>587</v>
      </c>
    </row>
    <row r="2" spans="1:9" x14ac:dyDescent="0.3">
      <c r="A2" s="40" t="s">
        <v>197</v>
      </c>
      <c r="B2" s="41" t="s">
        <v>26</v>
      </c>
      <c r="C2" s="42">
        <v>4138</v>
      </c>
      <c r="D2" s="42">
        <v>361</v>
      </c>
      <c r="E2" s="42">
        <v>103777</v>
      </c>
      <c r="F2" s="43">
        <f>(C2-D2)/E2</f>
        <v>3.6395347716738774E-2</v>
      </c>
      <c r="G2" s="60">
        <v>56.637790647253247</v>
      </c>
      <c r="H2" s="44">
        <v>23944</v>
      </c>
      <c r="I2" s="42">
        <f>(C2-D2)</f>
        <v>3777</v>
      </c>
    </row>
    <row r="3" spans="1:9" x14ac:dyDescent="0.3">
      <c r="A3" s="40" t="s">
        <v>197</v>
      </c>
      <c r="B3" s="41" t="s">
        <v>53</v>
      </c>
      <c r="C3" s="42">
        <v>8693</v>
      </c>
      <c r="D3" s="42">
        <v>1261</v>
      </c>
      <c r="E3" s="42">
        <v>111209</v>
      </c>
      <c r="F3" s="43">
        <f t="shared" ref="F3:F67" si="0">(C3-D3)/E3</f>
        <v>6.6829123542159363E-2</v>
      </c>
      <c r="G3" s="60">
        <v>69.475492091467416</v>
      </c>
      <c r="H3" s="44">
        <v>29873</v>
      </c>
      <c r="I3" s="42">
        <f t="shared" ref="I3:I67" si="1">(C3-D3)</f>
        <v>7432</v>
      </c>
    </row>
    <row r="4" spans="1:9" x14ac:dyDescent="0.3">
      <c r="A4" s="40" t="s">
        <v>197</v>
      </c>
      <c r="B4" s="41" t="s">
        <v>14</v>
      </c>
      <c r="C4" s="42">
        <v>9264</v>
      </c>
      <c r="D4" s="42">
        <v>1141</v>
      </c>
      <c r="E4" s="42">
        <v>119332</v>
      </c>
      <c r="F4" s="43">
        <f t="shared" si="0"/>
        <v>6.8070592967519189E-2</v>
      </c>
      <c r="G4" s="60">
        <v>92.312204605638044</v>
      </c>
      <c r="H4" s="44">
        <v>50372</v>
      </c>
      <c r="I4" s="42">
        <f t="shared" si="1"/>
        <v>8123</v>
      </c>
    </row>
    <row r="5" spans="1:9" x14ac:dyDescent="0.3">
      <c r="A5" s="40" t="s">
        <v>210</v>
      </c>
      <c r="B5" s="41" t="s">
        <v>26</v>
      </c>
      <c r="C5" s="42">
        <v>7721</v>
      </c>
      <c r="D5" s="42">
        <v>506</v>
      </c>
      <c r="E5" s="42">
        <v>134418</v>
      </c>
      <c r="F5" s="43">
        <f t="shared" si="0"/>
        <v>5.3675846984778827E-2</v>
      </c>
      <c r="G5" s="60">
        <v>35.577824398518047</v>
      </c>
      <c r="H5" s="44">
        <v>25379</v>
      </c>
      <c r="I5" s="42">
        <f t="shared" si="1"/>
        <v>7215</v>
      </c>
    </row>
    <row r="6" spans="1:9" x14ac:dyDescent="0.3">
      <c r="A6" s="40" t="s">
        <v>210</v>
      </c>
      <c r="B6" s="41" t="s">
        <v>14</v>
      </c>
      <c r="C6" s="42">
        <v>8002</v>
      </c>
      <c r="D6" s="42">
        <v>524</v>
      </c>
      <c r="E6" s="42">
        <v>141896</v>
      </c>
      <c r="F6" s="43">
        <f t="shared" si="0"/>
        <v>5.270056943113266E-2</v>
      </c>
      <c r="G6" s="60">
        <v>52.064892597395271</v>
      </c>
      <c r="H6" s="44">
        <v>46751</v>
      </c>
      <c r="I6" s="42">
        <f t="shared" si="1"/>
        <v>7478</v>
      </c>
    </row>
    <row r="7" spans="1:9" x14ac:dyDescent="0.3">
      <c r="A7" s="40" t="s">
        <v>210</v>
      </c>
      <c r="B7" s="41" t="s">
        <v>53</v>
      </c>
      <c r="C7" s="42">
        <v>5225</v>
      </c>
      <c r="D7" s="42">
        <v>291</v>
      </c>
      <c r="E7" s="42">
        <v>146830</v>
      </c>
      <c r="F7" s="43">
        <f t="shared" si="0"/>
        <v>3.3603487025812166E-2</v>
      </c>
      <c r="G7" s="60">
        <v>19.551862698358651</v>
      </c>
      <c r="H7" s="44">
        <v>44546</v>
      </c>
      <c r="I7" s="42">
        <f t="shared" si="1"/>
        <v>4934</v>
      </c>
    </row>
    <row r="8" spans="1:9" x14ac:dyDescent="0.3">
      <c r="A8" s="40" t="s">
        <v>134</v>
      </c>
      <c r="B8" s="41" t="s">
        <v>26</v>
      </c>
      <c r="C8" s="42">
        <v>8373</v>
      </c>
      <c r="D8" s="42">
        <v>921</v>
      </c>
      <c r="E8" s="42">
        <v>157717</v>
      </c>
      <c r="F8" s="43">
        <f t="shared" si="0"/>
        <v>4.7249186834646864E-2</v>
      </c>
      <c r="G8" s="60">
        <v>12.2263294381709</v>
      </c>
      <c r="H8" s="44">
        <v>15110</v>
      </c>
      <c r="I8" s="42">
        <f t="shared" si="1"/>
        <v>7452</v>
      </c>
    </row>
    <row r="9" spans="1:9" x14ac:dyDescent="0.3">
      <c r="A9" s="40" t="s">
        <v>134</v>
      </c>
      <c r="B9" s="41" t="s">
        <v>53</v>
      </c>
      <c r="C9" s="42">
        <v>6907</v>
      </c>
      <c r="D9" s="42">
        <v>834</v>
      </c>
      <c r="E9" s="42">
        <v>163790</v>
      </c>
      <c r="F9" s="43">
        <f t="shared" si="0"/>
        <v>3.7077965687770928E-2</v>
      </c>
      <c r="G9" s="60">
        <v>54.158984064961238</v>
      </c>
      <c r="H9" s="44">
        <v>22087</v>
      </c>
      <c r="I9" s="42">
        <f t="shared" si="1"/>
        <v>6073</v>
      </c>
    </row>
    <row r="10" spans="1:9" x14ac:dyDescent="0.3">
      <c r="A10" s="40" t="s">
        <v>134</v>
      </c>
      <c r="B10" s="41" t="s">
        <v>21</v>
      </c>
      <c r="C10" s="42">
        <v>7097</v>
      </c>
      <c r="D10" s="42">
        <v>369</v>
      </c>
      <c r="E10" s="42">
        <v>170518</v>
      </c>
      <c r="F10" s="43">
        <f t="shared" si="0"/>
        <v>3.9456245088495059E-2</v>
      </c>
      <c r="G10" s="60">
        <v>9.2506362964613711</v>
      </c>
      <c r="H10" s="44">
        <v>33762</v>
      </c>
      <c r="I10" s="42">
        <f t="shared" si="1"/>
        <v>6728</v>
      </c>
    </row>
    <row r="11" spans="1:9" x14ac:dyDescent="0.3">
      <c r="A11" s="40" t="s">
        <v>42</v>
      </c>
      <c r="B11" s="41" t="s">
        <v>53</v>
      </c>
      <c r="C11" s="42">
        <v>9984</v>
      </c>
      <c r="D11" s="42">
        <v>1330</v>
      </c>
      <c r="E11" s="42">
        <v>184850</v>
      </c>
      <c r="F11" s="43">
        <f t="shared" si="0"/>
        <v>4.6816337571003515E-2</v>
      </c>
      <c r="G11" s="60">
        <v>57.524479307546663</v>
      </c>
      <c r="H11" s="44">
        <v>44947</v>
      </c>
      <c r="I11" s="42">
        <f t="shared" si="1"/>
        <v>8654</v>
      </c>
    </row>
    <row r="12" spans="1:9" x14ac:dyDescent="0.3">
      <c r="A12" s="40" t="s">
        <v>42</v>
      </c>
      <c r="B12" s="41" t="s">
        <v>26</v>
      </c>
      <c r="C12" s="42">
        <v>5259</v>
      </c>
      <c r="D12" s="42">
        <v>374</v>
      </c>
      <c r="E12" s="42">
        <v>189735</v>
      </c>
      <c r="F12" s="43">
        <f t="shared" si="0"/>
        <v>2.5746435818378266E-2</v>
      </c>
      <c r="G12" s="60">
        <v>14.827522597306769</v>
      </c>
      <c r="H12" s="44">
        <v>19596</v>
      </c>
      <c r="I12" s="42">
        <f t="shared" si="1"/>
        <v>4885</v>
      </c>
    </row>
    <row r="13" spans="1:9" x14ac:dyDescent="0.3">
      <c r="A13" s="40" t="s">
        <v>42</v>
      </c>
      <c r="B13" s="41" t="s">
        <v>14</v>
      </c>
      <c r="C13" s="42">
        <v>9286</v>
      </c>
      <c r="D13" s="42">
        <v>633</v>
      </c>
      <c r="E13" s="42">
        <v>198388</v>
      </c>
      <c r="F13" s="43">
        <f t="shared" si="0"/>
        <v>4.3616549388067825E-2</v>
      </c>
      <c r="G13" s="60">
        <v>5.4343004617214756</v>
      </c>
      <c r="H13" s="44">
        <v>48019</v>
      </c>
      <c r="I13" s="42">
        <f t="shared" si="1"/>
        <v>8653</v>
      </c>
    </row>
    <row r="14" spans="1:9" x14ac:dyDescent="0.3">
      <c r="A14" s="40" t="s">
        <v>404</v>
      </c>
      <c r="B14" s="41" t="s">
        <v>21</v>
      </c>
      <c r="C14" s="42">
        <v>5917</v>
      </c>
      <c r="D14" s="42">
        <v>475</v>
      </c>
      <c r="E14" s="42">
        <v>210260</v>
      </c>
      <c r="F14" s="43">
        <f t="shared" si="0"/>
        <v>2.5882241034909159E-2</v>
      </c>
      <c r="G14" s="60">
        <v>17.894035955483691</v>
      </c>
      <c r="H14" s="44">
        <v>28313</v>
      </c>
      <c r="I14" s="42">
        <f t="shared" si="1"/>
        <v>5442</v>
      </c>
    </row>
    <row r="15" spans="1:9" x14ac:dyDescent="0.3">
      <c r="A15" s="40" t="s">
        <v>404</v>
      </c>
      <c r="B15" s="41" t="s">
        <v>53</v>
      </c>
      <c r="C15" s="42">
        <v>9429</v>
      </c>
      <c r="D15" s="42">
        <v>966</v>
      </c>
      <c r="E15" s="42">
        <v>218723</v>
      </c>
      <c r="F15" s="43">
        <f t="shared" si="0"/>
        <v>3.8692775794040866E-2</v>
      </c>
      <c r="G15" s="60">
        <v>7.6914636320825887</v>
      </c>
      <c r="H15" s="44">
        <v>57639</v>
      </c>
      <c r="I15" s="42">
        <f t="shared" si="1"/>
        <v>8463</v>
      </c>
    </row>
    <row r="16" spans="1:9" x14ac:dyDescent="0.3">
      <c r="A16" s="40" t="s">
        <v>404</v>
      </c>
      <c r="B16" s="41" t="s">
        <v>26</v>
      </c>
      <c r="C16" s="42">
        <v>3530</v>
      </c>
      <c r="D16" s="42">
        <v>328</v>
      </c>
      <c r="E16" s="42">
        <v>221925</v>
      </c>
      <c r="F16" s="43">
        <f t="shared" si="0"/>
        <v>1.4428297848372199E-2</v>
      </c>
      <c r="G16" s="60">
        <v>12.8372197814577</v>
      </c>
      <c r="H16" s="44">
        <v>11013</v>
      </c>
      <c r="I16" s="42">
        <f t="shared" si="1"/>
        <v>3202</v>
      </c>
    </row>
    <row r="17" spans="1:9" x14ac:dyDescent="0.3">
      <c r="A17" s="40" t="s">
        <v>532</v>
      </c>
      <c r="B17" s="41" t="s">
        <v>53</v>
      </c>
      <c r="C17" s="42">
        <v>8045</v>
      </c>
      <c r="D17" s="42">
        <v>894</v>
      </c>
      <c r="E17" s="42">
        <v>231802</v>
      </c>
      <c r="F17" s="43">
        <f t="shared" si="0"/>
        <v>3.084960440375838E-2</v>
      </c>
      <c r="G17" s="60">
        <v>47.634187798207087</v>
      </c>
      <c r="H17" s="44">
        <v>33705</v>
      </c>
      <c r="I17" s="42">
        <f t="shared" si="1"/>
        <v>7151</v>
      </c>
    </row>
    <row r="18" spans="1:9" x14ac:dyDescent="0.3">
      <c r="A18" s="40" t="s">
        <v>532</v>
      </c>
      <c r="B18" s="41" t="s">
        <v>21</v>
      </c>
      <c r="C18" s="42">
        <v>2048</v>
      </c>
      <c r="D18" s="42">
        <v>130</v>
      </c>
      <c r="E18" s="42">
        <v>233720</v>
      </c>
      <c r="F18" s="43">
        <f t="shared" si="0"/>
        <v>8.2064008214958063E-3</v>
      </c>
      <c r="G18" s="60">
        <v>39.284614068115687</v>
      </c>
      <c r="H18" s="44">
        <v>11828</v>
      </c>
      <c r="I18" s="42">
        <f t="shared" si="1"/>
        <v>1918</v>
      </c>
    </row>
    <row r="19" spans="1:9" x14ac:dyDescent="0.3">
      <c r="A19" s="40" t="s">
        <v>275</v>
      </c>
      <c r="B19" s="41" t="s">
        <v>26</v>
      </c>
      <c r="C19" s="42">
        <v>3964</v>
      </c>
      <c r="D19" s="42">
        <v>378</v>
      </c>
      <c r="E19" s="42">
        <v>246766</v>
      </c>
      <c r="F19" s="43">
        <f t="shared" si="0"/>
        <v>1.453198576789347E-2</v>
      </c>
      <c r="G19" s="60">
        <v>13.6355899921383</v>
      </c>
      <c r="H19" s="44">
        <v>23109</v>
      </c>
      <c r="I19" s="42">
        <f t="shared" si="1"/>
        <v>3586</v>
      </c>
    </row>
    <row r="20" spans="1:9" x14ac:dyDescent="0.3">
      <c r="A20" s="40" t="s">
        <v>275</v>
      </c>
      <c r="B20" s="41" t="s">
        <v>53</v>
      </c>
      <c r="C20" s="42">
        <v>8137</v>
      </c>
      <c r="D20" s="42">
        <v>1045</v>
      </c>
      <c r="E20" s="42">
        <v>253858</v>
      </c>
      <c r="F20" s="43">
        <f t="shared" si="0"/>
        <v>2.7936878097203948E-2</v>
      </c>
      <c r="G20" s="60">
        <v>20.47246886054408</v>
      </c>
      <c r="H20" s="44">
        <v>12023</v>
      </c>
      <c r="I20" s="42">
        <f t="shared" si="1"/>
        <v>7092</v>
      </c>
    </row>
    <row r="21" spans="1:9" x14ac:dyDescent="0.3">
      <c r="A21" s="40" t="s">
        <v>275</v>
      </c>
      <c r="B21" s="41" t="s">
        <v>14</v>
      </c>
      <c r="C21" s="42">
        <v>1963</v>
      </c>
      <c r="D21" s="42">
        <v>137</v>
      </c>
      <c r="E21" s="42">
        <v>255684</v>
      </c>
      <c r="F21" s="43">
        <f t="shared" si="0"/>
        <v>7.1416279469970747E-3</v>
      </c>
      <c r="G21" s="60">
        <v>11.2083665774941</v>
      </c>
      <c r="H21" s="44">
        <v>24537</v>
      </c>
      <c r="I21" s="42">
        <f t="shared" si="1"/>
        <v>1826</v>
      </c>
    </row>
    <row r="22" spans="1:9" x14ac:dyDescent="0.3">
      <c r="A22" s="40" t="s">
        <v>533</v>
      </c>
      <c r="B22" s="41" t="s">
        <v>21</v>
      </c>
      <c r="C22" s="42">
        <v>8340</v>
      </c>
      <c r="D22" s="42">
        <v>911</v>
      </c>
      <c r="E22" s="42">
        <v>264494</v>
      </c>
      <c r="F22" s="43">
        <f t="shared" si="0"/>
        <v>2.8087593669421613E-2</v>
      </c>
      <c r="G22" s="60">
        <v>37.302925586213682</v>
      </c>
      <c r="H22" s="44">
        <v>48659</v>
      </c>
      <c r="I22" s="42">
        <f t="shared" si="1"/>
        <v>7429</v>
      </c>
    </row>
    <row r="23" spans="1:9" x14ac:dyDescent="0.3">
      <c r="A23" s="40" t="s">
        <v>533</v>
      </c>
      <c r="B23" s="41" t="s">
        <v>53</v>
      </c>
      <c r="C23" s="42">
        <v>8179</v>
      </c>
      <c r="D23" s="42">
        <v>446</v>
      </c>
      <c r="E23" s="42">
        <v>272227</v>
      </c>
      <c r="F23" s="43">
        <f t="shared" si="0"/>
        <v>2.8406440213498294E-2</v>
      </c>
      <c r="G23" s="60">
        <v>41.82171496581897</v>
      </c>
      <c r="H23" s="44">
        <v>43848</v>
      </c>
      <c r="I23" s="42">
        <f t="shared" si="1"/>
        <v>7733</v>
      </c>
    </row>
    <row r="24" spans="1:9" x14ac:dyDescent="0.3">
      <c r="A24" s="40" t="s">
        <v>533</v>
      </c>
      <c r="B24" s="41" t="s">
        <v>14</v>
      </c>
      <c r="C24" s="42">
        <v>9734</v>
      </c>
      <c r="D24" s="42">
        <v>652</v>
      </c>
      <c r="E24" s="42">
        <v>289283</v>
      </c>
      <c r="F24" s="43">
        <f t="shared" si="0"/>
        <v>3.1394862470314533E-2</v>
      </c>
      <c r="G24" s="60">
        <v>49.647922622483861</v>
      </c>
      <c r="H24" s="44">
        <v>25379</v>
      </c>
      <c r="I24" s="42">
        <f t="shared" si="1"/>
        <v>9082</v>
      </c>
    </row>
    <row r="25" spans="1:9" x14ac:dyDescent="0.3">
      <c r="A25" s="40" t="s">
        <v>230</v>
      </c>
      <c r="B25" s="41" t="s">
        <v>21</v>
      </c>
      <c r="C25" s="42">
        <v>1845</v>
      </c>
      <c r="D25" s="42">
        <v>104</v>
      </c>
      <c r="E25" s="42">
        <v>291024</v>
      </c>
      <c r="F25" s="43">
        <f t="shared" si="0"/>
        <v>5.9823244818296775E-3</v>
      </c>
      <c r="G25" s="60">
        <v>28.158158777282971</v>
      </c>
      <c r="H25" s="44">
        <v>37766</v>
      </c>
      <c r="I25" s="42">
        <f>(C25-D25)</f>
        <v>1741</v>
      </c>
    </row>
    <row r="26" spans="1:9" x14ac:dyDescent="0.3">
      <c r="A26" s="40" t="s">
        <v>230</v>
      </c>
      <c r="B26" s="41" t="s">
        <v>14</v>
      </c>
      <c r="C26" s="42">
        <v>4036</v>
      </c>
      <c r="D26" s="42">
        <v>591</v>
      </c>
      <c r="E26" s="42">
        <v>300265</v>
      </c>
      <c r="F26" s="43">
        <f t="shared" si="0"/>
        <v>1.1473198674504187E-2</v>
      </c>
      <c r="G26" s="60">
        <v>44.219272975538267</v>
      </c>
      <c r="H26" s="44">
        <v>12563</v>
      </c>
      <c r="I26" s="42">
        <f t="shared" si="1"/>
        <v>3445</v>
      </c>
    </row>
    <row r="27" spans="1:9" x14ac:dyDescent="0.3">
      <c r="A27" s="40" t="s">
        <v>230</v>
      </c>
      <c r="B27" s="41" t="s">
        <v>53</v>
      </c>
      <c r="C27" s="42">
        <v>6947</v>
      </c>
      <c r="D27" s="42">
        <v>908</v>
      </c>
      <c r="E27" s="42">
        <v>306304</v>
      </c>
      <c r="F27" s="43">
        <f t="shared" si="0"/>
        <v>1.9715707271207691E-2</v>
      </c>
      <c r="G27" s="60">
        <v>14.117673944839121</v>
      </c>
      <c r="H27" s="44">
        <v>46060</v>
      </c>
      <c r="I27" s="42">
        <f t="shared" si="1"/>
        <v>6039</v>
      </c>
    </row>
    <row r="28" spans="1:9" x14ac:dyDescent="0.3">
      <c r="A28" s="40" t="s">
        <v>446</v>
      </c>
      <c r="B28" s="41" t="s">
        <v>26</v>
      </c>
      <c r="C28" s="42">
        <v>3494</v>
      </c>
      <c r="D28" s="42">
        <v>281</v>
      </c>
      <c r="E28" s="42">
        <v>309517</v>
      </c>
      <c r="F28" s="43">
        <f t="shared" si="0"/>
        <v>1.0380689913639638E-2</v>
      </c>
      <c r="G28" s="60">
        <v>27.765518533715429</v>
      </c>
      <c r="H28" s="44">
        <v>39197</v>
      </c>
      <c r="I28" s="42">
        <f t="shared" si="1"/>
        <v>3213</v>
      </c>
    </row>
    <row r="29" spans="1:9" x14ac:dyDescent="0.3">
      <c r="A29" s="40" t="s">
        <v>446</v>
      </c>
      <c r="B29" s="41" t="s">
        <v>53</v>
      </c>
      <c r="C29" s="42">
        <v>3719</v>
      </c>
      <c r="D29" s="42">
        <v>222</v>
      </c>
      <c r="E29" s="42">
        <v>313014</v>
      </c>
      <c r="F29" s="43">
        <f t="shared" si="0"/>
        <v>1.1172024254506188E-2</v>
      </c>
      <c r="G29" s="60">
        <v>21.669318305251519</v>
      </c>
      <c r="H29" s="44">
        <v>13586</v>
      </c>
      <c r="I29" s="42">
        <f t="shared" si="1"/>
        <v>3497</v>
      </c>
    </row>
    <row r="30" spans="1:9" x14ac:dyDescent="0.3">
      <c r="A30" s="40" t="s">
        <v>446</v>
      </c>
      <c r="B30" s="41" t="s">
        <v>14</v>
      </c>
      <c r="C30" s="42">
        <v>2884</v>
      </c>
      <c r="D30" s="42">
        <v>341</v>
      </c>
      <c r="E30" s="42">
        <v>315557</v>
      </c>
      <c r="F30" s="43">
        <f t="shared" si="0"/>
        <v>8.058765928184131E-3</v>
      </c>
      <c r="G30" s="60">
        <v>46.999749649033298</v>
      </c>
      <c r="H30" s="44">
        <v>26087</v>
      </c>
      <c r="I30" s="42">
        <f t="shared" si="1"/>
        <v>2543</v>
      </c>
    </row>
    <row r="31" spans="1:9" x14ac:dyDescent="0.3">
      <c r="A31" s="40" t="s">
        <v>446</v>
      </c>
      <c r="B31" s="41" t="s">
        <v>21</v>
      </c>
      <c r="C31" s="42">
        <v>5349</v>
      </c>
      <c r="D31" s="42">
        <v>502</v>
      </c>
      <c r="E31" s="42">
        <v>320404</v>
      </c>
      <c r="F31" s="43">
        <f t="shared" si="0"/>
        <v>1.5127776182569505E-2</v>
      </c>
      <c r="G31" s="60">
        <v>5.2152906954969351</v>
      </c>
      <c r="H31" s="44">
        <v>58868</v>
      </c>
      <c r="I31" s="42">
        <f t="shared" si="1"/>
        <v>4847</v>
      </c>
    </row>
    <row r="32" spans="1:9" x14ac:dyDescent="0.3">
      <c r="A32" s="40" t="s">
        <v>33</v>
      </c>
      <c r="B32" s="41" t="s">
        <v>53</v>
      </c>
      <c r="C32" s="42">
        <v>6179</v>
      </c>
      <c r="D32" s="42">
        <v>384</v>
      </c>
      <c r="E32" s="42">
        <v>326199</v>
      </c>
      <c r="F32" s="43">
        <f t="shared" si="0"/>
        <v>1.7765229200580015E-2</v>
      </c>
      <c r="G32" s="60">
        <v>14.71218489327067</v>
      </c>
      <c r="H32" s="44">
        <v>33225</v>
      </c>
      <c r="I32" s="42">
        <f t="shared" si="1"/>
        <v>5795</v>
      </c>
    </row>
    <row r="33" spans="1:9" x14ac:dyDescent="0.3">
      <c r="A33" s="40" t="s">
        <v>33</v>
      </c>
      <c r="B33" s="41" t="s">
        <v>26</v>
      </c>
      <c r="C33" s="42">
        <v>7610</v>
      </c>
      <c r="D33" s="42">
        <v>757</v>
      </c>
      <c r="E33" s="42">
        <v>333052</v>
      </c>
      <c r="F33" s="43">
        <f t="shared" si="0"/>
        <v>2.0576366453286574E-2</v>
      </c>
      <c r="G33" s="60">
        <v>44.450416151231643</v>
      </c>
      <c r="H33" s="44">
        <v>39750</v>
      </c>
      <c r="I33" s="42">
        <f t="shared" si="1"/>
        <v>6853</v>
      </c>
    </row>
    <row r="34" spans="1:9" x14ac:dyDescent="0.3">
      <c r="A34" s="40" t="s">
        <v>33</v>
      </c>
      <c r="B34" s="41" t="s">
        <v>14</v>
      </c>
      <c r="C34" s="42">
        <v>7430</v>
      </c>
      <c r="D34" s="42">
        <v>397</v>
      </c>
      <c r="E34" s="42">
        <v>340085</v>
      </c>
      <c r="F34" s="43">
        <f t="shared" si="0"/>
        <v>2.0680124086625402E-2</v>
      </c>
      <c r="G34" s="60">
        <v>28.065042562888689</v>
      </c>
      <c r="H34" s="44">
        <v>16643</v>
      </c>
      <c r="I34" s="42">
        <f t="shared" si="1"/>
        <v>7033</v>
      </c>
    </row>
    <row r="35" spans="1:9" x14ac:dyDescent="0.3">
      <c r="A35" s="40" t="s">
        <v>72</v>
      </c>
      <c r="B35" s="41" t="s">
        <v>26</v>
      </c>
      <c r="C35" s="42">
        <v>7488</v>
      </c>
      <c r="D35" s="42">
        <v>568</v>
      </c>
      <c r="E35" s="42">
        <v>354010</v>
      </c>
      <c r="F35" s="43">
        <f t="shared" si="0"/>
        <v>1.9547470410440384E-2</v>
      </c>
      <c r="G35" s="60">
        <v>13.47730290104799</v>
      </c>
      <c r="H35" s="44">
        <v>46727</v>
      </c>
      <c r="I35" s="42">
        <f t="shared" si="1"/>
        <v>6920</v>
      </c>
    </row>
    <row r="36" spans="1:9" x14ac:dyDescent="0.3">
      <c r="A36" s="40" t="s">
        <v>72</v>
      </c>
      <c r="B36" s="41" t="s">
        <v>14</v>
      </c>
      <c r="C36" s="42">
        <v>5737</v>
      </c>
      <c r="D36" s="42">
        <v>666</v>
      </c>
      <c r="E36" s="42">
        <v>359081</v>
      </c>
      <c r="F36" s="43">
        <f t="shared" si="0"/>
        <v>1.4122161852061233E-2</v>
      </c>
      <c r="G36" s="60">
        <v>4.6034181702735593</v>
      </c>
      <c r="H36" s="44">
        <v>21005</v>
      </c>
      <c r="I36" s="42">
        <f t="shared" si="1"/>
        <v>5071</v>
      </c>
    </row>
    <row r="37" spans="1:9" x14ac:dyDescent="0.3">
      <c r="A37" s="40" t="s">
        <v>67</v>
      </c>
      <c r="B37" s="41" t="s">
        <v>21</v>
      </c>
      <c r="C37" s="42">
        <v>1689</v>
      </c>
      <c r="D37" s="42">
        <v>176</v>
      </c>
      <c r="E37" s="42">
        <v>371865</v>
      </c>
      <c r="F37" s="43">
        <f t="shared" si="0"/>
        <v>4.068680838476329E-3</v>
      </c>
      <c r="G37" s="60">
        <v>38.012181840183942</v>
      </c>
      <c r="H37" s="44">
        <v>26029</v>
      </c>
      <c r="I37" s="42">
        <f t="shared" si="1"/>
        <v>1513</v>
      </c>
    </row>
    <row r="38" spans="1:9" x14ac:dyDescent="0.3">
      <c r="A38" s="40" t="s">
        <v>67</v>
      </c>
      <c r="B38" s="41" t="s">
        <v>53</v>
      </c>
      <c r="C38" s="42">
        <v>6175</v>
      </c>
      <c r="D38" s="42">
        <v>422</v>
      </c>
      <c r="E38" s="42">
        <v>377618</v>
      </c>
      <c r="F38" s="43">
        <f t="shared" si="0"/>
        <v>1.523497290913039E-2</v>
      </c>
      <c r="G38" s="60">
        <v>37.86101298137271</v>
      </c>
      <c r="H38" s="44">
        <v>59745</v>
      </c>
      <c r="I38" s="42">
        <f t="shared" si="1"/>
        <v>5753</v>
      </c>
    </row>
    <row r="39" spans="1:9" x14ac:dyDescent="0.3">
      <c r="A39" s="40" t="s">
        <v>67</v>
      </c>
      <c r="B39" s="41" t="s">
        <v>26</v>
      </c>
      <c r="C39" s="42">
        <v>9648</v>
      </c>
      <c r="D39" s="42">
        <v>1417</v>
      </c>
      <c r="E39" s="42">
        <v>385849</v>
      </c>
      <c r="F39" s="43">
        <f t="shared" si="0"/>
        <v>2.1332179168534842E-2</v>
      </c>
      <c r="G39" s="60">
        <v>3.6633501706626168</v>
      </c>
      <c r="H39" s="44">
        <v>24226</v>
      </c>
      <c r="I39" s="42">
        <f t="shared" si="1"/>
        <v>8231</v>
      </c>
    </row>
    <row r="40" spans="1:9" x14ac:dyDescent="0.3">
      <c r="A40" s="40" t="s">
        <v>67</v>
      </c>
      <c r="B40" s="41" t="s">
        <v>14</v>
      </c>
      <c r="C40" s="42">
        <v>6078</v>
      </c>
      <c r="D40" s="42">
        <v>775</v>
      </c>
      <c r="E40" s="42">
        <v>391152</v>
      </c>
      <c r="F40" s="43">
        <f t="shared" si="0"/>
        <v>1.3557389454738823E-2</v>
      </c>
      <c r="G40" s="60">
        <v>37.760512537325639</v>
      </c>
      <c r="H40" s="44">
        <v>38731</v>
      </c>
      <c r="I40" s="42">
        <f t="shared" si="1"/>
        <v>5303</v>
      </c>
    </row>
    <row r="41" spans="1:9" x14ac:dyDescent="0.3">
      <c r="A41" s="40" t="s">
        <v>164</v>
      </c>
      <c r="B41" s="41" t="s">
        <v>26</v>
      </c>
      <c r="C41" s="42">
        <v>6448</v>
      </c>
      <c r="D41" s="42">
        <v>928</v>
      </c>
      <c r="E41" s="42">
        <v>396672</v>
      </c>
      <c r="F41" s="43">
        <f t="shared" si="0"/>
        <v>1.3915779283639884E-2</v>
      </c>
      <c r="G41" s="60">
        <v>30.118586640851881</v>
      </c>
      <c r="H41" s="44">
        <v>53922</v>
      </c>
      <c r="I41" s="42">
        <f t="shared" si="1"/>
        <v>5520</v>
      </c>
    </row>
    <row r="42" spans="1:9" x14ac:dyDescent="0.3">
      <c r="A42" s="40" t="s">
        <v>164</v>
      </c>
      <c r="B42" s="41" t="s">
        <v>53</v>
      </c>
      <c r="C42" s="42">
        <v>7406</v>
      </c>
      <c r="D42" s="42">
        <v>813</v>
      </c>
      <c r="E42" s="42">
        <v>405141</v>
      </c>
      <c r="F42" s="43">
        <f t="shared" si="0"/>
        <v>1.6273346810122897E-2</v>
      </c>
      <c r="G42" s="60">
        <v>24.457411123534769</v>
      </c>
      <c r="H42" s="44">
        <v>13390</v>
      </c>
      <c r="I42" s="42">
        <f t="shared" si="1"/>
        <v>6593</v>
      </c>
    </row>
    <row r="43" spans="1:9" x14ac:dyDescent="0.3">
      <c r="A43" s="40" t="s">
        <v>164</v>
      </c>
      <c r="B43" s="41" t="s">
        <v>21</v>
      </c>
      <c r="C43" s="42">
        <v>9591</v>
      </c>
      <c r="D43" s="42">
        <v>1363</v>
      </c>
      <c r="E43" s="42">
        <v>413369</v>
      </c>
      <c r="F43" s="43">
        <f t="shared" si="0"/>
        <v>1.9904734026983156E-2</v>
      </c>
      <c r="G43" s="60">
        <v>10.494255737609739</v>
      </c>
      <c r="H43" s="44">
        <v>15997</v>
      </c>
      <c r="I43" s="42">
        <f t="shared" si="1"/>
        <v>8228</v>
      </c>
    </row>
    <row r="44" spans="1:9" x14ac:dyDescent="0.3">
      <c r="A44" s="40" t="s">
        <v>76</v>
      </c>
      <c r="B44" s="41" t="s">
        <v>26</v>
      </c>
      <c r="C44" s="42">
        <v>7907</v>
      </c>
      <c r="D44" s="42">
        <v>465</v>
      </c>
      <c r="E44" s="42">
        <v>420811</v>
      </c>
      <c r="F44" s="43">
        <f t="shared" si="0"/>
        <v>1.76848989213685E-2</v>
      </c>
      <c r="G44" s="60">
        <v>33.257448118038738</v>
      </c>
      <c r="H44" s="44">
        <v>22693</v>
      </c>
      <c r="I44" s="42">
        <f t="shared" si="1"/>
        <v>7442</v>
      </c>
    </row>
    <row r="45" spans="1:9" x14ac:dyDescent="0.3">
      <c r="A45" s="40" t="s">
        <v>76</v>
      </c>
      <c r="B45" s="41" t="s">
        <v>14</v>
      </c>
      <c r="C45" s="42">
        <v>9800</v>
      </c>
      <c r="D45" s="42">
        <v>682</v>
      </c>
      <c r="E45" s="42">
        <v>429929</v>
      </c>
      <c r="F45" s="43">
        <f t="shared" si="0"/>
        <v>2.1208152974095722E-2</v>
      </c>
      <c r="G45" s="60">
        <v>6.2966210699906267</v>
      </c>
      <c r="H45" s="44">
        <v>59815</v>
      </c>
      <c r="I45" s="42">
        <f t="shared" si="1"/>
        <v>9118</v>
      </c>
    </row>
    <row r="46" spans="1:9" x14ac:dyDescent="0.3">
      <c r="A46" s="40" t="s">
        <v>76</v>
      </c>
      <c r="B46" s="41" t="s">
        <v>21</v>
      </c>
      <c r="C46" s="42">
        <v>6671</v>
      </c>
      <c r="D46" s="42">
        <v>550</v>
      </c>
      <c r="E46" s="42">
        <v>438545</v>
      </c>
      <c r="F46" s="43">
        <f t="shared" si="0"/>
        <v>1.3957518612685129E-2</v>
      </c>
      <c r="G46" s="60">
        <v>17.750287883797562</v>
      </c>
      <c r="H46" s="44">
        <v>10541</v>
      </c>
      <c r="I46" s="42">
        <f t="shared" si="1"/>
        <v>6121</v>
      </c>
    </row>
    <row r="47" spans="1:9" x14ac:dyDescent="0.3">
      <c r="A47" s="40" t="s">
        <v>534</v>
      </c>
      <c r="B47" s="41" t="s">
        <v>14</v>
      </c>
      <c r="C47" s="42">
        <v>7928</v>
      </c>
      <c r="D47" s="42">
        <v>704</v>
      </c>
      <c r="E47" s="42">
        <v>445769</v>
      </c>
      <c r="F47" s="43">
        <f t="shared" si="0"/>
        <v>1.6205702953772022E-2</v>
      </c>
      <c r="G47" s="60">
        <v>11.194362999670229</v>
      </c>
      <c r="H47" s="44">
        <v>31817</v>
      </c>
      <c r="I47" s="42">
        <f>(C47-D47)</f>
        <v>7224</v>
      </c>
    </row>
    <row r="48" spans="1:9" x14ac:dyDescent="0.3">
      <c r="A48" s="40" t="s">
        <v>534</v>
      </c>
      <c r="B48" s="41" t="s">
        <v>21</v>
      </c>
      <c r="C48" s="42">
        <v>2382</v>
      </c>
      <c r="D48" s="42">
        <v>183</v>
      </c>
      <c r="E48" s="42">
        <v>447968</v>
      </c>
      <c r="F48" s="43">
        <f t="shared" si="0"/>
        <v>4.9088327737695546E-3</v>
      </c>
      <c r="G48" s="60">
        <v>4.7335970426459033</v>
      </c>
      <c r="H48" s="44">
        <v>47861</v>
      </c>
      <c r="I48" s="42">
        <f t="shared" si="1"/>
        <v>2199</v>
      </c>
    </row>
    <row r="49" spans="1:9" x14ac:dyDescent="0.3">
      <c r="A49" s="40" t="s">
        <v>534</v>
      </c>
      <c r="B49" s="41" t="s">
        <v>53</v>
      </c>
      <c r="C49" s="42">
        <v>4292</v>
      </c>
      <c r="D49" s="42">
        <v>367</v>
      </c>
      <c r="E49" s="42">
        <v>453977</v>
      </c>
      <c r="F49" s="43">
        <f t="shared" si="0"/>
        <v>8.6458124530537899E-3</v>
      </c>
      <c r="G49" s="60">
        <v>3.5037017293827661</v>
      </c>
      <c r="H49" s="44">
        <v>53934</v>
      </c>
      <c r="I49" s="42">
        <f t="shared" si="1"/>
        <v>3925</v>
      </c>
    </row>
    <row r="50" spans="1:9" x14ac:dyDescent="0.3">
      <c r="A50" s="40" t="s">
        <v>535</v>
      </c>
      <c r="B50" s="41" t="s">
        <v>26</v>
      </c>
      <c r="C50" s="42">
        <v>1419</v>
      </c>
      <c r="D50" s="42">
        <v>110</v>
      </c>
      <c r="E50" s="42">
        <v>455286</v>
      </c>
      <c r="F50" s="43">
        <f>(C50-D50)/E50</f>
        <v>2.8751158612388694E-3</v>
      </c>
      <c r="G50" s="60">
        <v>31.554451487636339</v>
      </c>
      <c r="H50" s="44">
        <v>58831</v>
      </c>
      <c r="I50" s="42">
        <f t="shared" si="1"/>
        <v>1309</v>
      </c>
    </row>
    <row r="51" spans="1:9" x14ac:dyDescent="0.3">
      <c r="A51" s="40" t="s">
        <v>535</v>
      </c>
      <c r="B51" s="41" t="s">
        <v>53</v>
      </c>
      <c r="C51" s="42">
        <v>5517</v>
      </c>
      <c r="D51" s="42">
        <v>575</v>
      </c>
      <c r="E51" s="42">
        <v>460228</v>
      </c>
      <c r="F51" s="43">
        <f t="shared" si="0"/>
        <v>1.07381558705685E-2</v>
      </c>
      <c r="G51" s="60">
        <v>29.45844233727631</v>
      </c>
      <c r="H51" s="44">
        <v>20258</v>
      </c>
      <c r="I51" s="42">
        <f t="shared" si="1"/>
        <v>4942</v>
      </c>
    </row>
    <row r="52" spans="1:9" x14ac:dyDescent="0.3">
      <c r="A52" s="40" t="s">
        <v>536</v>
      </c>
      <c r="B52" s="41" t="s">
        <v>26</v>
      </c>
      <c r="C52" s="42">
        <v>8870</v>
      </c>
      <c r="D52" s="42">
        <v>509</v>
      </c>
      <c r="E52" s="42">
        <v>480320</v>
      </c>
      <c r="F52" s="43">
        <f t="shared" si="0"/>
        <v>1.7407145236508995E-2</v>
      </c>
      <c r="G52" s="60">
        <v>25.077864756828781</v>
      </c>
      <c r="H52" s="44">
        <v>15469</v>
      </c>
      <c r="I52" s="42">
        <f t="shared" si="1"/>
        <v>8361</v>
      </c>
    </row>
    <row r="53" spans="1:9" x14ac:dyDescent="0.3">
      <c r="A53" s="40" t="s">
        <v>536</v>
      </c>
      <c r="B53" s="41" t="s">
        <v>53</v>
      </c>
      <c r="C53" s="42">
        <v>6693</v>
      </c>
      <c r="D53" s="42">
        <v>995</v>
      </c>
      <c r="E53" s="42">
        <v>486018</v>
      </c>
      <c r="F53" s="43">
        <f t="shared" si="0"/>
        <v>1.1723845618886543E-2</v>
      </c>
      <c r="G53" s="60">
        <v>23.761877132122681</v>
      </c>
      <c r="H53" s="44">
        <v>38854</v>
      </c>
      <c r="I53" s="42">
        <f t="shared" si="1"/>
        <v>5698</v>
      </c>
    </row>
    <row r="54" spans="1:9" x14ac:dyDescent="0.3">
      <c r="A54" s="40" t="s">
        <v>537</v>
      </c>
      <c r="B54" s="41" t="s">
        <v>21</v>
      </c>
      <c r="C54" s="42">
        <v>2549</v>
      </c>
      <c r="D54" s="42">
        <v>128</v>
      </c>
      <c r="E54" s="42">
        <v>492814</v>
      </c>
      <c r="F54" s="43">
        <f t="shared" si="0"/>
        <v>4.9126039438814641E-3</v>
      </c>
      <c r="G54" s="60">
        <v>12.734216154573531</v>
      </c>
      <c r="H54" s="44">
        <v>43937</v>
      </c>
      <c r="I54" s="42">
        <f t="shared" si="1"/>
        <v>2421</v>
      </c>
    </row>
    <row r="55" spans="1:9" x14ac:dyDescent="0.3">
      <c r="A55" s="40" t="s">
        <v>537</v>
      </c>
      <c r="B55" s="41" t="s">
        <v>14</v>
      </c>
      <c r="C55" s="42">
        <v>7140</v>
      </c>
      <c r="D55" s="42">
        <v>939</v>
      </c>
      <c r="E55" s="42">
        <v>499015</v>
      </c>
      <c r="F55" s="43">
        <f t="shared" si="0"/>
        <v>1.2426480165926877E-2</v>
      </c>
      <c r="G55" s="60">
        <v>25.120888149654821</v>
      </c>
      <c r="H55" s="44">
        <v>43598</v>
      </c>
      <c r="I55" s="42">
        <f t="shared" si="1"/>
        <v>6201</v>
      </c>
    </row>
    <row r="56" spans="1:9" x14ac:dyDescent="0.3">
      <c r="A56" s="40" t="s">
        <v>537</v>
      </c>
      <c r="B56" s="41" t="s">
        <v>26</v>
      </c>
      <c r="C56" s="42">
        <v>5481</v>
      </c>
      <c r="D56" s="42">
        <v>673</v>
      </c>
      <c r="E56" s="42">
        <v>507970</v>
      </c>
      <c r="F56" s="43">
        <f t="shared" si="0"/>
        <v>9.4651258932614123E-3</v>
      </c>
      <c r="G56" s="60">
        <v>13.08758391243577</v>
      </c>
      <c r="H56" s="44">
        <v>29194</v>
      </c>
      <c r="I56" s="42">
        <f t="shared" si="1"/>
        <v>4808</v>
      </c>
    </row>
    <row r="57" spans="1:9" x14ac:dyDescent="0.3">
      <c r="A57" s="40" t="s">
        <v>538</v>
      </c>
      <c r="B57" s="41" t="s">
        <v>53</v>
      </c>
      <c r="C57" s="42">
        <v>8898</v>
      </c>
      <c r="D57" s="42">
        <v>1131</v>
      </c>
      <c r="E57" s="42">
        <v>515737</v>
      </c>
      <c r="F57" s="43">
        <f t="shared" si="0"/>
        <v>1.5060001512398761E-2</v>
      </c>
      <c r="G57" s="60">
        <v>2.1877429775253669</v>
      </c>
      <c r="H57" s="44">
        <v>35051</v>
      </c>
      <c r="I57" s="42">
        <f t="shared" si="1"/>
        <v>7767</v>
      </c>
    </row>
    <row r="58" spans="1:9" x14ac:dyDescent="0.3">
      <c r="A58" s="40" t="s">
        <v>538</v>
      </c>
      <c r="B58" s="41" t="s">
        <v>14</v>
      </c>
      <c r="C58" s="42">
        <v>7548</v>
      </c>
      <c r="D58" s="42">
        <v>433</v>
      </c>
      <c r="E58" s="42">
        <v>522852</v>
      </c>
      <c r="F58" s="43">
        <f t="shared" si="0"/>
        <v>1.3608057347012157E-2</v>
      </c>
      <c r="G58" s="60">
        <v>8.3562843787534522</v>
      </c>
      <c r="H58" s="44">
        <v>37386</v>
      </c>
      <c r="I58" s="42">
        <f t="shared" si="1"/>
        <v>7115</v>
      </c>
    </row>
    <row r="59" spans="1:9" x14ac:dyDescent="0.3">
      <c r="A59" s="40" t="s">
        <v>138</v>
      </c>
      <c r="B59" s="41" t="s">
        <v>26</v>
      </c>
      <c r="C59" s="42">
        <v>8758</v>
      </c>
      <c r="D59" s="42">
        <v>1193</v>
      </c>
      <c r="E59" s="42">
        <v>538906</v>
      </c>
      <c r="F59" s="43">
        <f t="shared" si="0"/>
        <v>1.4037698596786824E-2</v>
      </c>
      <c r="G59" s="60">
        <v>3.4213758985797149</v>
      </c>
      <c r="H59" s="44">
        <v>26184</v>
      </c>
      <c r="I59" s="42">
        <f t="shared" si="1"/>
        <v>7565</v>
      </c>
    </row>
    <row r="60" spans="1:9" x14ac:dyDescent="0.3">
      <c r="A60" s="40" t="s">
        <v>138</v>
      </c>
      <c r="B60" s="41" t="s">
        <v>14</v>
      </c>
      <c r="C60" s="42">
        <v>7793</v>
      </c>
      <c r="D60" s="42">
        <v>875</v>
      </c>
      <c r="E60" s="42">
        <v>545824</v>
      </c>
      <c r="F60" s="43">
        <f t="shared" si="0"/>
        <v>1.267441519610717E-2</v>
      </c>
      <c r="G60" s="60">
        <v>5.5136820660139527</v>
      </c>
      <c r="H60" s="44">
        <v>43787</v>
      </c>
      <c r="I60" s="42">
        <f t="shared" si="1"/>
        <v>6918</v>
      </c>
    </row>
    <row r="61" spans="1:9" x14ac:dyDescent="0.3">
      <c r="A61" s="40" t="s">
        <v>169</v>
      </c>
      <c r="B61" s="41" t="s">
        <v>14</v>
      </c>
      <c r="C61" s="42">
        <v>7007</v>
      </c>
      <c r="D61" s="42">
        <v>568</v>
      </c>
      <c r="E61" s="42">
        <v>568671</v>
      </c>
      <c r="F61" s="43">
        <f t="shared" si="0"/>
        <v>1.1322891443382905E-2</v>
      </c>
      <c r="G61" s="60">
        <v>11.50507059442103</v>
      </c>
      <c r="H61" s="44">
        <v>22448</v>
      </c>
      <c r="I61" s="42">
        <f t="shared" si="1"/>
        <v>6439</v>
      </c>
    </row>
    <row r="62" spans="1:9" x14ac:dyDescent="0.3">
      <c r="A62" s="40" t="s">
        <v>169</v>
      </c>
      <c r="B62" s="41" t="s">
        <v>21</v>
      </c>
      <c r="C62" s="42">
        <v>7356</v>
      </c>
      <c r="D62" s="42">
        <v>904</v>
      </c>
      <c r="E62" s="42">
        <v>581126</v>
      </c>
      <c r="F62" s="43">
        <f t="shared" si="0"/>
        <v>1.1102583604932494E-2</v>
      </c>
      <c r="G62" s="60">
        <v>17.560907617280929</v>
      </c>
      <c r="H62" s="44">
        <v>44051</v>
      </c>
      <c r="I62" s="42">
        <f t="shared" si="1"/>
        <v>6452</v>
      </c>
    </row>
    <row r="63" spans="1:9" x14ac:dyDescent="0.3">
      <c r="A63" s="40" t="s">
        <v>242</v>
      </c>
      <c r="B63" s="41" t="s">
        <v>53</v>
      </c>
      <c r="C63" s="42">
        <v>8380</v>
      </c>
      <c r="D63" s="42">
        <v>1162</v>
      </c>
      <c r="E63" s="42">
        <v>596704</v>
      </c>
      <c r="F63" s="43">
        <f t="shared" si="0"/>
        <v>1.2096449831072022E-2</v>
      </c>
      <c r="G63" s="60">
        <v>18.05853488496809</v>
      </c>
      <c r="H63" s="44">
        <v>40447</v>
      </c>
      <c r="I63" s="42">
        <f t="shared" si="1"/>
        <v>7218</v>
      </c>
    </row>
    <row r="64" spans="1:9" x14ac:dyDescent="0.3">
      <c r="A64" s="40" t="s">
        <v>242</v>
      </c>
      <c r="B64" s="41" t="s">
        <v>14</v>
      </c>
      <c r="C64" s="42">
        <v>3385</v>
      </c>
      <c r="D64" s="42">
        <v>329</v>
      </c>
      <c r="E64" s="42">
        <v>599760</v>
      </c>
      <c r="F64" s="43">
        <f t="shared" si="0"/>
        <v>5.0953714819261036E-3</v>
      </c>
      <c r="G64" s="60">
        <v>17.61788048552755</v>
      </c>
      <c r="H64" s="44">
        <v>28394</v>
      </c>
      <c r="I64" s="42">
        <f t="shared" si="1"/>
        <v>3056</v>
      </c>
    </row>
    <row r="65" spans="1:9" x14ac:dyDescent="0.3">
      <c r="A65" s="40" t="s">
        <v>242</v>
      </c>
      <c r="B65" s="41" t="s">
        <v>21</v>
      </c>
      <c r="C65" s="42">
        <v>5268</v>
      </c>
      <c r="D65" s="42">
        <v>326</v>
      </c>
      <c r="E65" s="42">
        <v>604702</v>
      </c>
      <c r="F65" s="43">
        <f t="shared" si="0"/>
        <v>8.1726205635172366E-3</v>
      </c>
      <c r="G65" s="60">
        <v>23.435841125050029</v>
      </c>
      <c r="H65" s="44">
        <v>44501</v>
      </c>
      <c r="I65" s="42">
        <f t="shared" si="1"/>
        <v>4942</v>
      </c>
    </row>
    <row r="66" spans="1:9" x14ac:dyDescent="0.3">
      <c r="A66" s="40" t="s">
        <v>539</v>
      </c>
      <c r="B66" s="41" t="s">
        <v>53</v>
      </c>
      <c r="C66" s="42">
        <v>1163</v>
      </c>
      <c r="D66" s="42">
        <v>146</v>
      </c>
      <c r="E66" s="42">
        <v>607188</v>
      </c>
      <c r="F66" s="43">
        <f>(C66-D66)/E66</f>
        <v>1.6749342872388782E-3</v>
      </c>
      <c r="G66" s="60">
        <v>21.77776899411715</v>
      </c>
      <c r="H66" s="44">
        <v>28509</v>
      </c>
      <c r="I66" s="42">
        <f>(C66-D66)</f>
        <v>1017</v>
      </c>
    </row>
    <row r="67" spans="1:9" x14ac:dyDescent="0.3">
      <c r="A67" s="40" t="s">
        <v>539</v>
      </c>
      <c r="B67" s="41" t="s">
        <v>21</v>
      </c>
      <c r="C67" s="42">
        <v>5592</v>
      </c>
      <c r="D67" s="42">
        <v>710</v>
      </c>
      <c r="E67" s="42">
        <v>620702</v>
      </c>
      <c r="F67" s="43">
        <f t="shared" si="0"/>
        <v>7.8652880126050834E-3</v>
      </c>
      <c r="G67" s="60">
        <v>9.07118069540617</v>
      </c>
      <c r="H67" s="44">
        <v>24472</v>
      </c>
      <c r="I67" s="42">
        <f t="shared" si="1"/>
        <v>4882</v>
      </c>
    </row>
    <row r="68" spans="1:9" x14ac:dyDescent="0.3">
      <c r="A68" s="40" t="s">
        <v>539</v>
      </c>
      <c r="B68" s="41" t="s">
        <v>14</v>
      </c>
      <c r="C68" s="42">
        <v>5795</v>
      </c>
      <c r="D68" s="42">
        <v>575</v>
      </c>
      <c r="E68" s="42">
        <v>625922</v>
      </c>
      <c r="F68" s="43">
        <f t="shared" ref="F68:F82" si="2">(C68-D68)/E68</f>
        <v>8.3396972785746461E-3</v>
      </c>
      <c r="G68" s="60">
        <v>3.0908004511744269</v>
      </c>
      <c r="H68" s="44">
        <v>55657</v>
      </c>
      <c r="I68" s="42">
        <f t="shared" ref="I68:I82" si="3">(C68-D68)</f>
        <v>5220</v>
      </c>
    </row>
    <row r="69" spans="1:9" x14ac:dyDescent="0.3">
      <c r="A69" s="40" t="s">
        <v>62</v>
      </c>
      <c r="B69" s="41" t="s">
        <v>26</v>
      </c>
      <c r="C69" s="42">
        <v>5798</v>
      </c>
      <c r="D69" s="42">
        <v>592</v>
      </c>
      <c r="E69" s="42">
        <v>631128</v>
      </c>
      <c r="F69" s="43">
        <f t="shared" si="2"/>
        <v>8.2487229214992831E-3</v>
      </c>
      <c r="G69" s="60">
        <v>1.6774727155188811</v>
      </c>
      <c r="H69" s="44">
        <v>13471</v>
      </c>
      <c r="I69" s="42">
        <f t="shared" si="3"/>
        <v>5206</v>
      </c>
    </row>
    <row r="70" spans="1:9" x14ac:dyDescent="0.3">
      <c r="A70" s="40" t="s">
        <v>62</v>
      </c>
      <c r="B70" s="41" t="s">
        <v>53</v>
      </c>
      <c r="C70" s="42">
        <v>7036</v>
      </c>
      <c r="D70" s="42">
        <v>652</v>
      </c>
      <c r="E70" s="42">
        <v>637512</v>
      </c>
      <c r="F70" s="43">
        <f t="shared" si="2"/>
        <v>1.0013929149568949E-2</v>
      </c>
      <c r="G70" s="60">
        <v>3.5705994553828009</v>
      </c>
      <c r="H70" s="44">
        <v>51796</v>
      </c>
      <c r="I70" s="42">
        <f t="shared" si="3"/>
        <v>6384</v>
      </c>
    </row>
    <row r="71" spans="1:9" x14ac:dyDescent="0.3">
      <c r="A71" s="40" t="s">
        <v>62</v>
      </c>
      <c r="B71" s="41" t="s">
        <v>21</v>
      </c>
      <c r="C71" s="42">
        <v>3355</v>
      </c>
      <c r="D71" s="42">
        <v>176</v>
      </c>
      <c r="E71" s="42">
        <v>640691</v>
      </c>
      <c r="F71" s="43">
        <f t="shared" si="2"/>
        <v>4.9618302738761748E-3</v>
      </c>
      <c r="G71" s="60">
        <v>12.426427091999111</v>
      </c>
      <c r="H71" s="44">
        <v>40268</v>
      </c>
      <c r="I71" s="42">
        <f t="shared" si="3"/>
        <v>3179</v>
      </c>
    </row>
    <row r="72" spans="1:9" x14ac:dyDescent="0.3">
      <c r="A72" s="40" t="s">
        <v>461</v>
      </c>
      <c r="B72" s="41" t="s">
        <v>26</v>
      </c>
      <c r="C72" s="42">
        <v>8961</v>
      </c>
      <c r="D72" s="42">
        <v>476</v>
      </c>
      <c r="E72" s="42">
        <v>655645</v>
      </c>
      <c r="F72" s="43">
        <f t="shared" si="2"/>
        <v>1.2941454598143812E-2</v>
      </c>
      <c r="G72" s="60">
        <v>15.458517947974901</v>
      </c>
      <c r="H72" s="44">
        <v>44865</v>
      </c>
      <c r="I72" s="42">
        <f t="shared" si="3"/>
        <v>8485</v>
      </c>
    </row>
    <row r="73" spans="1:9" x14ac:dyDescent="0.3">
      <c r="A73" s="40" t="s">
        <v>461</v>
      </c>
      <c r="B73" s="41" t="s">
        <v>21</v>
      </c>
      <c r="C73" s="42">
        <v>9737</v>
      </c>
      <c r="D73" s="42">
        <v>792</v>
      </c>
      <c r="E73" s="42">
        <v>670642</v>
      </c>
      <c r="F73" s="43">
        <f t="shared" si="2"/>
        <v>1.3337965710468476E-2</v>
      </c>
      <c r="G73" s="60">
        <v>5.301785453341723</v>
      </c>
      <c r="H73" s="44">
        <v>56698</v>
      </c>
      <c r="I73" s="42">
        <f t="shared" si="3"/>
        <v>8945</v>
      </c>
    </row>
    <row r="74" spans="1:9" x14ac:dyDescent="0.3">
      <c r="A74" s="40" t="s">
        <v>461</v>
      </c>
      <c r="B74" s="41" t="s">
        <v>14</v>
      </c>
      <c r="C74" s="42">
        <v>5719</v>
      </c>
      <c r="D74" s="42">
        <v>576</v>
      </c>
      <c r="E74" s="42">
        <v>675785</v>
      </c>
      <c r="F74" s="43">
        <f t="shared" si="2"/>
        <v>7.6104086358827145E-3</v>
      </c>
      <c r="G74" s="60">
        <v>10.21656296011305</v>
      </c>
      <c r="H74" s="44">
        <v>38272</v>
      </c>
      <c r="I74" s="42">
        <f t="shared" si="3"/>
        <v>5143</v>
      </c>
    </row>
    <row r="75" spans="1:9" x14ac:dyDescent="0.3">
      <c r="A75" s="40" t="s">
        <v>540</v>
      </c>
      <c r="B75" s="41" t="s">
        <v>26</v>
      </c>
      <c r="C75" s="42">
        <v>1593</v>
      </c>
      <c r="D75" s="42">
        <v>224</v>
      </c>
      <c r="E75" s="42">
        <v>677154</v>
      </c>
      <c r="F75" s="43">
        <f t="shared" si="2"/>
        <v>2.0216966893793729E-3</v>
      </c>
      <c r="G75" s="60">
        <v>4.1495730660972248</v>
      </c>
      <c r="H75" s="44">
        <v>52845</v>
      </c>
      <c r="I75" s="42">
        <f t="shared" si="3"/>
        <v>1369</v>
      </c>
    </row>
    <row r="76" spans="1:9" x14ac:dyDescent="0.3">
      <c r="A76" s="40" t="s">
        <v>540</v>
      </c>
      <c r="B76" s="41" t="s">
        <v>21</v>
      </c>
      <c r="C76" s="42">
        <v>5839</v>
      </c>
      <c r="D76" s="42">
        <v>437</v>
      </c>
      <c r="E76" s="42">
        <v>682556</v>
      </c>
      <c r="F76" s="43">
        <f t="shared" si="2"/>
        <v>7.9143689309009082E-3</v>
      </c>
      <c r="G76" s="60">
        <v>17.44750613869045</v>
      </c>
      <c r="H76" s="44">
        <v>16397</v>
      </c>
      <c r="I76" s="42">
        <f t="shared" si="3"/>
        <v>5402</v>
      </c>
    </row>
    <row r="77" spans="1:9" x14ac:dyDescent="0.3">
      <c r="A77" s="40" t="s">
        <v>540</v>
      </c>
      <c r="B77" s="41" t="s">
        <v>14</v>
      </c>
      <c r="C77" s="42">
        <v>4493</v>
      </c>
      <c r="D77" s="42">
        <v>564</v>
      </c>
      <c r="E77" s="42">
        <v>694115</v>
      </c>
      <c r="F77" s="43">
        <f t="shared" si="2"/>
        <v>5.660445315257558E-3</v>
      </c>
      <c r="G77" s="60">
        <v>16.625487131094989</v>
      </c>
      <c r="H77" s="44">
        <v>45525</v>
      </c>
      <c r="I77" s="42">
        <f t="shared" si="3"/>
        <v>3929</v>
      </c>
    </row>
    <row r="78" spans="1:9" x14ac:dyDescent="0.3">
      <c r="A78" s="40" t="s">
        <v>187</v>
      </c>
      <c r="B78" s="41" t="s">
        <v>53</v>
      </c>
      <c r="C78" s="42">
        <v>7164</v>
      </c>
      <c r="D78" s="42">
        <v>522</v>
      </c>
      <c r="E78" s="42">
        <v>700757</v>
      </c>
      <c r="F78" s="43">
        <f t="shared" si="2"/>
        <v>9.4783213011072308E-3</v>
      </c>
      <c r="G78" s="60">
        <v>13.449169969047761</v>
      </c>
      <c r="H78" s="44">
        <v>34570</v>
      </c>
      <c r="I78" s="42">
        <f t="shared" si="3"/>
        <v>6642</v>
      </c>
    </row>
    <row r="79" spans="1:9" x14ac:dyDescent="0.3">
      <c r="A79" s="40" t="s">
        <v>187</v>
      </c>
      <c r="B79" s="41" t="s">
        <v>26</v>
      </c>
      <c r="C79" s="42">
        <v>3672</v>
      </c>
      <c r="D79" s="42">
        <v>211</v>
      </c>
      <c r="E79" s="42">
        <v>704218</v>
      </c>
      <c r="F79" s="43">
        <f t="shared" si="2"/>
        <v>4.9146713091684675E-3</v>
      </c>
      <c r="G79" s="60">
        <v>12.35057894004413</v>
      </c>
      <c r="H79" s="44">
        <v>28284</v>
      </c>
      <c r="I79" s="42">
        <f t="shared" si="3"/>
        <v>3461</v>
      </c>
    </row>
    <row r="80" spans="1:9" x14ac:dyDescent="0.3">
      <c r="A80" s="40" t="s">
        <v>187</v>
      </c>
      <c r="B80" s="41" t="s">
        <v>14</v>
      </c>
      <c r="C80" s="42">
        <v>5200</v>
      </c>
      <c r="D80" s="42">
        <v>410</v>
      </c>
      <c r="E80" s="42">
        <v>709008</v>
      </c>
      <c r="F80" s="43">
        <f t="shared" si="2"/>
        <v>6.7559181278631555E-3</v>
      </c>
      <c r="G80" s="60">
        <v>12.913394489201821</v>
      </c>
      <c r="H80" s="44">
        <v>28994</v>
      </c>
      <c r="I80" s="42">
        <f t="shared" si="3"/>
        <v>4790</v>
      </c>
    </row>
    <row r="81" spans="1:9" x14ac:dyDescent="0.3">
      <c r="A81" s="40" t="s">
        <v>187</v>
      </c>
      <c r="B81" s="41" t="s">
        <v>21</v>
      </c>
      <c r="C81" s="42">
        <v>1016</v>
      </c>
      <c r="D81" s="42">
        <v>67</v>
      </c>
      <c r="E81" s="42">
        <v>709957</v>
      </c>
      <c r="F81" s="43">
        <f t="shared" si="2"/>
        <v>1.3367006734210664E-3</v>
      </c>
      <c r="G81" s="60">
        <v>20.774215903216671</v>
      </c>
      <c r="H81" s="44">
        <v>33284</v>
      </c>
      <c r="I81" s="42">
        <f t="shared" si="3"/>
        <v>949</v>
      </c>
    </row>
    <row r="82" spans="1:9" x14ac:dyDescent="0.3">
      <c r="A82" s="40" t="s">
        <v>97</v>
      </c>
      <c r="B82" s="41" t="s">
        <v>26</v>
      </c>
      <c r="C82" s="42">
        <v>4191</v>
      </c>
      <c r="D82" s="42">
        <v>599</v>
      </c>
      <c r="E82" s="42">
        <v>713549</v>
      </c>
      <c r="F82" s="43">
        <f t="shared" si="2"/>
        <v>5.033992059410076E-3</v>
      </c>
      <c r="G82" s="60">
        <v>11.56416728213479</v>
      </c>
      <c r="H82" s="44">
        <v>27833</v>
      </c>
      <c r="I82" s="42">
        <f t="shared" si="3"/>
        <v>3592</v>
      </c>
    </row>
    <row r="83" spans="1:9" x14ac:dyDescent="0.3">
      <c r="A83" s="40" t="s">
        <v>97</v>
      </c>
      <c r="B83" s="41" t="s">
        <v>21</v>
      </c>
      <c r="C83" s="42">
        <v>9616</v>
      </c>
      <c r="D83" s="42">
        <v>1089</v>
      </c>
      <c r="E83" s="42">
        <v>723286</v>
      </c>
      <c r="F83" s="43">
        <f>(C83-D83)/E83</f>
        <v>1.178925072516266E-2</v>
      </c>
      <c r="G83" s="60">
        <v>19.25863351426683</v>
      </c>
      <c r="H83" s="44">
        <v>15017</v>
      </c>
      <c r="I83" s="42">
        <f>(C83-D83)</f>
        <v>8527</v>
      </c>
    </row>
    <row r="84" spans="1:9" x14ac:dyDescent="0.3">
      <c r="A84" s="40" t="s">
        <v>97</v>
      </c>
      <c r="B84" s="41" t="s">
        <v>53</v>
      </c>
      <c r="C84" s="42">
        <v>7272</v>
      </c>
      <c r="D84" s="42">
        <v>997</v>
      </c>
      <c r="E84" s="42">
        <v>729561</v>
      </c>
      <c r="F84" s="43">
        <f t="shared" ref="F84:F107" si="4">(C84-D84)/E84</f>
        <v>8.6010628309353167E-3</v>
      </c>
      <c r="G84" s="60">
        <v>13.428486445958599</v>
      </c>
      <c r="H84" s="44">
        <v>26370</v>
      </c>
      <c r="I84" s="42">
        <f t="shared" ref="I84:I105" si="5">(C84-D84)</f>
        <v>6275</v>
      </c>
    </row>
    <row r="85" spans="1:9" x14ac:dyDescent="0.3">
      <c r="A85" s="40" t="s">
        <v>15</v>
      </c>
      <c r="B85" s="41" t="s">
        <v>21</v>
      </c>
      <c r="C85" s="42">
        <v>1571</v>
      </c>
      <c r="D85" s="42">
        <v>204</v>
      </c>
      <c r="E85" s="42">
        <v>730928</v>
      </c>
      <c r="F85" s="43">
        <f t="shared" si="4"/>
        <v>1.8702252479040344E-3</v>
      </c>
      <c r="G85" s="60">
        <v>19.449384891535139</v>
      </c>
      <c r="H85" s="44">
        <v>39252</v>
      </c>
      <c r="I85" s="42">
        <f t="shared" si="5"/>
        <v>1367</v>
      </c>
    </row>
    <row r="86" spans="1:9" x14ac:dyDescent="0.3">
      <c r="A86" s="40" t="s">
        <v>15</v>
      </c>
      <c r="B86" s="41" t="s">
        <v>26</v>
      </c>
      <c r="C86" s="42">
        <v>4631</v>
      </c>
      <c r="D86" s="42">
        <v>317</v>
      </c>
      <c r="E86" s="42">
        <v>735242</v>
      </c>
      <c r="F86" s="43">
        <f t="shared" si="4"/>
        <v>5.8674558852731479E-3</v>
      </c>
      <c r="G86" s="60">
        <v>1.381177897889402</v>
      </c>
      <c r="H86" s="44">
        <v>17999</v>
      </c>
      <c r="I86" s="42">
        <f t="shared" si="5"/>
        <v>4314</v>
      </c>
    </row>
    <row r="87" spans="1:9" x14ac:dyDescent="0.3">
      <c r="A87" s="40" t="s">
        <v>15</v>
      </c>
      <c r="B87" s="41" t="s">
        <v>14</v>
      </c>
      <c r="C87" s="42">
        <v>8177</v>
      </c>
      <c r="D87" s="42">
        <v>849</v>
      </c>
      <c r="E87" s="42">
        <v>748744</v>
      </c>
      <c r="F87" s="43">
        <f t="shared" si="4"/>
        <v>9.7870567243276748E-3</v>
      </c>
      <c r="G87" s="60">
        <v>10.34986590877523</v>
      </c>
      <c r="H87" s="44">
        <v>52963</v>
      </c>
      <c r="I87" s="42">
        <f t="shared" si="5"/>
        <v>7328</v>
      </c>
    </row>
    <row r="88" spans="1:9" x14ac:dyDescent="0.3">
      <c r="A88" s="40" t="s">
        <v>541</v>
      </c>
      <c r="B88" s="41" t="s">
        <v>21</v>
      </c>
      <c r="C88" s="42">
        <v>9433</v>
      </c>
      <c r="D88" s="42">
        <v>1233</v>
      </c>
      <c r="E88" s="42">
        <v>756944</v>
      </c>
      <c r="F88" s="43">
        <f t="shared" si="4"/>
        <v>1.0833033883616226E-2</v>
      </c>
      <c r="G88" s="60">
        <v>11.391727789638329</v>
      </c>
      <c r="H88" s="44">
        <v>12096</v>
      </c>
      <c r="I88" s="42">
        <f t="shared" si="5"/>
        <v>8200</v>
      </c>
    </row>
    <row r="89" spans="1:9" x14ac:dyDescent="0.3">
      <c r="A89" s="40" t="s">
        <v>541</v>
      </c>
      <c r="B89" s="41" t="s">
        <v>26</v>
      </c>
      <c r="C89" s="42">
        <v>4897</v>
      </c>
      <c r="D89" s="42">
        <v>683</v>
      </c>
      <c r="E89" s="42">
        <v>761158</v>
      </c>
      <c r="F89" s="43">
        <f t="shared" si="4"/>
        <v>5.5363012672795921E-3</v>
      </c>
      <c r="G89" s="60">
        <v>15.06231294947961</v>
      </c>
      <c r="H89" s="44">
        <v>58201</v>
      </c>
      <c r="I89" s="42">
        <f t="shared" si="5"/>
        <v>4214</v>
      </c>
    </row>
    <row r="90" spans="1:9" x14ac:dyDescent="0.3">
      <c r="A90" s="40" t="s">
        <v>541</v>
      </c>
      <c r="B90" s="41" t="s">
        <v>53</v>
      </c>
      <c r="C90" s="42">
        <v>3279</v>
      </c>
      <c r="D90" s="42">
        <v>200</v>
      </c>
      <c r="E90" s="42">
        <v>772614</v>
      </c>
      <c r="F90" s="43">
        <f t="shared" si="4"/>
        <v>3.9851724146857288E-3</v>
      </c>
      <c r="G90" s="60">
        <v>5.0212654702089274</v>
      </c>
      <c r="H90" s="44">
        <v>53363</v>
      </c>
      <c r="I90" s="42">
        <f t="shared" si="5"/>
        <v>3079</v>
      </c>
    </row>
    <row r="91" spans="1:9" x14ac:dyDescent="0.3">
      <c r="A91" s="40" t="s">
        <v>107</v>
      </c>
      <c r="B91" s="41" t="s">
        <v>21</v>
      </c>
      <c r="C91" s="42">
        <v>9980</v>
      </c>
      <c r="D91" s="42">
        <v>726</v>
      </c>
      <c r="E91" s="42">
        <v>781868</v>
      </c>
      <c r="F91" s="43">
        <f t="shared" si="4"/>
        <v>1.1835757442432739E-2</v>
      </c>
      <c r="G91" s="60">
        <v>4.0220344099003924</v>
      </c>
      <c r="H91" s="44">
        <v>58709</v>
      </c>
      <c r="I91" s="42">
        <f t="shared" si="5"/>
        <v>9254</v>
      </c>
    </row>
    <row r="92" spans="1:9" x14ac:dyDescent="0.3">
      <c r="A92" s="40" t="s">
        <v>107</v>
      </c>
      <c r="B92" s="41" t="s">
        <v>53</v>
      </c>
      <c r="C92" s="42">
        <v>8451</v>
      </c>
      <c r="D92" s="42">
        <v>783</v>
      </c>
      <c r="E92" s="42">
        <v>789536</v>
      </c>
      <c r="F92" s="43">
        <f t="shared" si="4"/>
        <v>9.7120333968305442E-3</v>
      </c>
      <c r="G92" s="60">
        <v>12.407287318121019</v>
      </c>
      <c r="H92" s="44">
        <v>36201</v>
      </c>
      <c r="I92" s="42">
        <f t="shared" si="5"/>
        <v>7668</v>
      </c>
    </row>
    <row r="93" spans="1:9" x14ac:dyDescent="0.3">
      <c r="A93" s="40" t="s">
        <v>107</v>
      </c>
      <c r="B93" s="41" t="s">
        <v>14</v>
      </c>
      <c r="C93" s="42">
        <v>9906</v>
      </c>
      <c r="D93" s="42">
        <v>1305</v>
      </c>
      <c r="E93" s="42">
        <v>798137</v>
      </c>
      <c r="F93" s="43">
        <f t="shared" si="4"/>
        <v>1.0776345414383746E-2</v>
      </c>
      <c r="G93" s="60">
        <v>9.1811305577864442</v>
      </c>
      <c r="H93" s="44">
        <v>29715</v>
      </c>
      <c r="I93" s="42">
        <f t="shared" si="5"/>
        <v>8601</v>
      </c>
    </row>
    <row r="94" spans="1:9" x14ac:dyDescent="0.3">
      <c r="A94" s="40" t="s">
        <v>542</v>
      </c>
      <c r="B94" s="41" t="s">
        <v>21</v>
      </c>
      <c r="C94" s="42">
        <v>7869</v>
      </c>
      <c r="D94" s="42">
        <v>398</v>
      </c>
      <c r="E94" s="42">
        <v>807142</v>
      </c>
      <c r="F94" s="43">
        <f t="shared" si="4"/>
        <v>9.2561160241940079E-3</v>
      </c>
      <c r="G94" s="60">
        <v>15.211945357818079</v>
      </c>
      <c r="H94" s="44">
        <v>25078</v>
      </c>
      <c r="I94" s="42">
        <f t="shared" si="5"/>
        <v>7471</v>
      </c>
    </row>
    <row r="95" spans="1:9" x14ac:dyDescent="0.3">
      <c r="A95" s="40" t="s">
        <v>542</v>
      </c>
      <c r="B95" s="41" t="s">
        <v>26</v>
      </c>
      <c r="C95" s="42">
        <v>3247</v>
      </c>
      <c r="D95" s="42">
        <v>328</v>
      </c>
      <c r="E95" s="42">
        <v>810061</v>
      </c>
      <c r="F95" s="43">
        <f t="shared" si="4"/>
        <v>3.6034323341081723E-3</v>
      </c>
      <c r="G95" s="60">
        <v>13.941172331466399</v>
      </c>
      <c r="H95" s="44">
        <v>15105</v>
      </c>
      <c r="I95" s="42">
        <f t="shared" si="5"/>
        <v>2919</v>
      </c>
    </row>
    <row r="96" spans="1:9" x14ac:dyDescent="0.3">
      <c r="A96" s="40" t="s">
        <v>542</v>
      </c>
      <c r="B96" s="41" t="s">
        <v>53</v>
      </c>
      <c r="C96" s="42">
        <v>8088</v>
      </c>
      <c r="D96" s="42">
        <v>742</v>
      </c>
      <c r="E96" s="42">
        <v>817407</v>
      </c>
      <c r="F96" s="43">
        <f t="shared" si="4"/>
        <v>8.9869550909155421E-3</v>
      </c>
      <c r="G96" s="60">
        <v>14.664542877660701</v>
      </c>
      <c r="H96" s="44">
        <v>39312</v>
      </c>
      <c r="I96" s="42">
        <f t="shared" si="5"/>
        <v>7346</v>
      </c>
    </row>
    <row r="97" spans="1:9" x14ac:dyDescent="0.3">
      <c r="A97" s="40" t="s">
        <v>542</v>
      </c>
      <c r="B97" s="41" t="s">
        <v>14</v>
      </c>
      <c r="C97" s="42">
        <v>1078</v>
      </c>
      <c r="D97" s="42">
        <v>77</v>
      </c>
      <c r="E97" s="42">
        <v>818408</v>
      </c>
      <c r="F97" s="43">
        <f t="shared" si="4"/>
        <v>1.2231063234963489E-3</v>
      </c>
      <c r="G97" s="60">
        <v>18.236747441373989</v>
      </c>
      <c r="H97" s="44">
        <v>12839</v>
      </c>
      <c r="I97" s="42">
        <f t="shared" si="5"/>
        <v>1001</v>
      </c>
    </row>
    <row r="98" spans="1:9" x14ac:dyDescent="0.3">
      <c r="A98" s="40" t="s">
        <v>543</v>
      </c>
      <c r="B98" s="41" t="s">
        <v>53</v>
      </c>
      <c r="C98" s="42">
        <v>9080</v>
      </c>
      <c r="D98" s="42">
        <v>562</v>
      </c>
      <c r="E98" s="42">
        <v>826926</v>
      </c>
      <c r="F98" s="43">
        <f t="shared" si="4"/>
        <v>1.0300800797169276E-2</v>
      </c>
      <c r="G98" s="60">
        <v>7.1083748727213809</v>
      </c>
      <c r="H98" s="44">
        <v>13384</v>
      </c>
      <c r="I98" s="42">
        <f t="shared" si="5"/>
        <v>8518</v>
      </c>
    </row>
    <row r="99" spans="1:9" x14ac:dyDescent="0.3">
      <c r="A99" s="40" t="s">
        <v>543</v>
      </c>
      <c r="B99" s="41" t="s">
        <v>14</v>
      </c>
      <c r="C99" s="42">
        <v>8340</v>
      </c>
      <c r="D99" s="42">
        <v>686</v>
      </c>
      <c r="E99" s="42">
        <v>846217</v>
      </c>
      <c r="F99" s="43">
        <f t="shared" si="4"/>
        <v>9.0449612806171465E-3</v>
      </c>
      <c r="G99" s="60">
        <v>7.201344336027284</v>
      </c>
      <c r="H99" s="44">
        <v>23493</v>
      </c>
      <c r="I99" s="42">
        <f t="shared" si="5"/>
        <v>7654</v>
      </c>
    </row>
    <row r="100" spans="1:9" x14ac:dyDescent="0.3">
      <c r="A100" s="40" t="s">
        <v>190</v>
      </c>
      <c r="B100" s="41" t="s">
        <v>21</v>
      </c>
      <c r="C100" s="42">
        <v>8083</v>
      </c>
      <c r="D100" s="42">
        <v>823</v>
      </c>
      <c r="E100" s="42">
        <v>853477</v>
      </c>
      <c r="F100" s="43">
        <f t="shared" si="4"/>
        <v>8.5063803711172073E-3</v>
      </c>
      <c r="G100" s="60">
        <v>4.6300017457998282</v>
      </c>
      <c r="H100" s="44">
        <v>27069</v>
      </c>
      <c r="I100" s="42">
        <f t="shared" si="5"/>
        <v>7260</v>
      </c>
    </row>
    <row r="101" spans="1:9" x14ac:dyDescent="0.3">
      <c r="A101" s="40" t="s">
        <v>190</v>
      </c>
      <c r="B101" s="41" t="s">
        <v>53</v>
      </c>
      <c r="C101" s="42">
        <v>7230</v>
      </c>
      <c r="D101" s="42">
        <v>869</v>
      </c>
      <c r="E101" s="42">
        <v>859838</v>
      </c>
      <c r="F101" s="43">
        <f t="shared" si="4"/>
        <v>7.397905186791E-3</v>
      </c>
      <c r="G101" s="60">
        <v>7.0117859410726204</v>
      </c>
      <c r="H101" s="44">
        <v>56907</v>
      </c>
      <c r="I101" s="42">
        <f t="shared" si="5"/>
        <v>6361</v>
      </c>
    </row>
    <row r="102" spans="1:9" x14ac:dyDescent="0.3">
      <c r="A102" s="40" t="s">
        <v>190</v>
      </c>
      <c r="B102" s="41" t="s">
        <v>26</v>
      </c>
      <c r="C102" s="42">
        <v>4271</v>
      </c>
      <c r="D102" s="42">
        <v>628</v>
      </c>
      <c r="E102" s="42">
        <v>868909</v>
      </c>
      <c r="F102" s="43">
        <f t="shared" si="4"/>
        <v>4.1926139561219876E-3</v>
      </c>
      <c r="G102" s="60">
        <v>11.124410036033691</v>
      </c>
      <c r="H102" s="44">
        <v>47051</v>
      </c>
      <c r="I102" s="42">
        <f t="shared" si="5"/>
        <v>3643</v>
      </c>
    </row>
    <row r="103" spans="1:9" x14ac:dyDescent="0.3">
      <c r="A103" s="40" t="s">
        <v>544</v>
      </c>
      <c r="B103" s="41" t="s">
        <v>14</v>
      </c>
      <c r="C103" s="42">
        <v>4456</v>
      </c>
      <c r="D103" s="42">
        <v>651</v>
      </c>
      <c r="E103" s="42">
        <v>872714</v>
      </c>
      <c r="F103" s="43">
        <f t="shared" si="4"/>
        <v>4.3599621410908961E-3</v>
      </c>
      <c r="G103" s="60">
        <v>9.5052903929580594</v>
      </c>
      <c r="H103" s="44">
        <v>17736</v>
      </c>
      <c r="I103" s="42">
        <f t="shared" si="5"/>
        <v>3805</v>
      </c>
    </row>
    <row r="104" spans="1:9" x14ac:dyDescent="0.3">
      <c r="A104" s="40" t="s">
        <v>544</v>
      </c>
      <c r="B104" s="41" t="s">
        <v>53</v>
      </c>
      <c r="C104" s="42">
        <v>8788</v>
      </c>
      <c r="D104" s="42">
        <v>660</v>
      </c>
      <c r="E104" s="42">
        <v>880842</v>
      </c>
      <c r="F104" s="43">
        <f t="shared" si="4"/>
        <v>9.2275345635199051E-3</v>
      </c>
      <c r="G104" s="60">
        <v>3.7175793161543158</v>
      </c>
      <c r="H104" s="44">
        <v>17710</v>
      </c>
      <c r="I104" s="42">
        <f t="shared" si="5"/>
        <v>8128</v>
      </c>
    </row>
    <row r="105" spans="1:9" x14ac:dyDescent="0.3">
      <c r="A105" s="40" t="s">
        <v>448</v>
      </c>
      <c r="B105" s="41" t="s">
        <v>21</v>
      </c>
      <c r="C105" s="42">
        <v>3711</v>
      </c>
      <c r="D105" s="42">
        <v>291</v>
      </c>
      <c r="E105" s="42">
        <v>900862</v>
      </c>
      <c r="F105" s="43">
        <f t="shared" si="4"/>
        <v>3.7963639269943676E-3</v>
      </c>
      <c r="G105" s="60">
        <v>14.24879726306582</v>
      </c>
      <c r="H105" s="44">
        <v>55603</v>
      </c>
      <c r="I105" s="42">
        <f t="shared" si="5"/>
        <v>3420</v>
      </c>
    </row>
    <row r="106" spans="1:9" x14ac:dyDescent="0.3">
      <c r="A106" s="40" t="s">
        <v>448</v>
      </c>
      <c r="B106" s="41" t="s">
        <v>53</v>
      </c>
      <c r="C106" s="42">
        <v>1147</v>
      </c>
      <c r="D106" s="42">
        <v>127</v>
      </c>
      <c r="E106" s="42">
        <v>904407</v>
      </c>
      <c r="F106" s="43">
        <f t="shared" si="4"/>
        <v>1.1278108196862695E-3</v>
      </c>
      <c r="G106" s="60">
        <v>1.3997016829812241</v>
      </c>
      <c r="H106" s="44">
        <v>25261</v>
      </c>
      <c r="I106" s="42">
        <f>(C106-D106)</f>
        <v>1020</v>
      </c>
    </row>
    <row r="107" spans="1:9" x14ac:dyDescent="0.3">
      <c r="A107" s="40" t="s">
        <v>109</v>
      </c>
      <c r="B107" s="41" t="s">
        <v>53</v>
      </c>
      <c r="C107" s="42">
        <v>1365</v>
      </c>
      <c r="D107" s="42">
        <v>75</v>
      </c>
      <c r="E107" s="42">
        <v>912374</v>
      </c>
      <c r="F107" s="43">
        <f t="shared" si="4"/>
        <v>1.4138938637006315E-3</v>
      </c>
      <c r="G107" s="60">
        <v>9.2688963078737441</v>
      </c>
      <c r="H107" s="44">
        <v>19067</v>
      </c>
      <c r="I107" s="42">
        <f t="shared" ref="I107:I131" si="6">(C107-D107)</f>
        <v>1290</v>
      </c>
    </row>
    <row r="108" spans="1:9" x14ac:dyDescent="0.3">
      <c r="A108" s="40" t="s">
        <v>109</v>
      </c>
      <c r="B108" s="41" t="s">
        <v>21</v>
      </c>
      <c r="C108" s="42">
        <v>5531</v>
      </c>
      <c r="D108" s="42">
        <v>430</v>
      </c>
      <c r="E108" s="42">
        <v>917475</v>
      </c>
      <c r="F108" s="43">
        <f>(C108-D108)/E108</f>
        <v>5.5598245183792472E-3</v>
      </c>
      <c r="G108" s="60">
        <v>2.7289026948963189</v>
      </c>
      <c r="H108" s="44">
        <v>47481</v>
      </c>
      <c r="I108" s="42">
        <f t="shared" si="6"/>
        <v>5101</v>
      </c>
    </row>
    <row r="109" spans="1:9" x14ac:dyDescent="0.3">
      <c r="A109" s="40" t="s">
        <v>109</v>
      </c>
      <c r="B109" s="41" t="s">
        <v>26</v>
      </c>
      <c r="C109" s="42">
        <v>6330</v>
      </c>
      <c r="D109" s="42">
        <v>891</v>
      </c>
      <c r="E109" s="42">
        <v>922914</v>
      </c>
      <c r="F109" s="43">
        <f t="shared" ref="F109:F125" si="7">(C109-D109)/E109</f>
        <v>5.8932901657142486E-3</v>
      </c>
      <c r="G109" s="60">
        <v>14.789893749580139</v>
      </c>
      <c r="H109" s="44">
        <v>37037</v>
      </c>
      <c r="I109" s="42">
        <f t="shared" si="6"/>
        <v>5439</v>
      </c>
    </row>
    <row r="110" spans="1:9" x14ac:dyDescent="0.3">
      <c r="A110" s="40" t="s">
        <v>122</v>
      </c>
      <c r="B110" s="41" t="s">
        <v>26</v>
      </c>
      <c r="C110" s="42">
        <v>9754</v>
      </c>
      <c r="D110" s="42">
        <v>629</v>
      </c>
      <c r="E110" s="42">
        <v>938068</v>
      </c>
      <c r="F110" s="43">
        <f t="shared" si="7"/>
        <v>9.7274398018054129E-3</v>
      </c>
      <c r="G110" s="60">
        <v>3.4123325814333292</v>
      </c>
      <c r="H110" s="44">
        <v>19435</v>
      </c>
      <c r="I110" s="42">
        <f t="shared" si="6"/>
        <v>9125</v>
      </c>
    </row>
    <row r="111" spans="1:9" x14ac:dyDescent="0.3">
      <c r="A111" s="40" t="s">
        <v>122</v>
      </c>
      <c r="B111" s="41" t="s">
        <v>14</v>
      </c>
      <c r="C111" s="42">
        <v>9964</v>
      </c>
      <c r="D111" s="42">
        <v>985</v>
      </c>
      <c r="E111" s="42">
        <v>947047</v>
      </c>
      <c r="F111" s="43">
        <f t="shared" si="7"/>
        <v>9.4810500429228957E-3</v>
      </c>
      <c r="G111" s="60">
        <v>1.9837452629066989</v>
      </c>
      <c r="H111" s="44">
        <v>47766</v>
      </c>
      <c r="I111" s="42">
        <f t="shared" si="6"/>
        <v>8979</v>
      </c>
    </row>
    <row r="112" spans="1:9" x14ac:dyDescent="0.3">
      <c r="A112" s="40" t="s">
        <v>166</v>
      </c>
      <c r="B112" s="41" t="s">
        <v>14</v>
      </c>
      <c r="C112" s="42">
        <v>7511</v>
      </c>
      <c r="D112" s="42">
        <v>880</v>
      </c>
      <c r="E112" s="42">
        <v>966020</v>
      </c>
      <c r="F112" s="43">
        <f t="shared" si="7"/>
        <v>6.8642471170369144E-3</v>
      </c>
      <c r="G112" s="60">
        <v>4.6083932009689246</v>
      </c>
      <c r="H112" s="44">
        <v>29675</v>
      </c>
      <c r="I112" s="42">
        <f t="shared" si="6"/>
        <v>6631</v>
      </c>
    </row>
    <row r="113" spans="1:9" x14ac:dyDescent="0.3">
      <c r="A113" s="40" t="s">
        <v>166</v>
      </c>
      <c r="B113" s="41" t="s">
        <v>21</v>
      </c>
      <c r="C113" s="42">
        <v>8504</v>
      </c>
      <c r="D113" s="42">
        <v>1072</v>
      </c>
      <c r="E113" s="42">
        <v>973452</v>
      </c>
      <c r="F113" s="43">
        <f t="shared" si="7"/>
        <v>7.6346856342171983E-3</v>
      </c>
      <c r="G113" s="60">
        <v>6.5651927367759271</v>
      </c>
      <c r="H113" s="44">
        <v>18461</v>
      </c>
      <c r="I113" s="42">
        <f t="shared" si="6"/>
        <v>7432</v>
      </c>
    </row>
    <row r="114" spans="1:9" x14ac:dyDescent="0.3">
      <c r="A114" s="40" t="s">
        <v>166</v>
      </c>
      <c r="B114" s="41" t="s">
        <v>53</v>
      </c>
      <c r="C114" s="42">
        <v>2246</v>
      </c>
      <c r="D114" s="42">
        <v>165</v>
      </c>
      <c r="E114" s="42">
        <v>975533</v>
      </c>
      <c r="F114" s="43">
        <f t="shared" si="7"/>
        <v>2.1331928289458173E-3</v>
      </c>
      <c r="G114" s="60">
        <v>2.9062061457685191</v>
      </c>
      <c r="H114" s="44">
        <v>27015</v>
      </c>
      <c r="I114" s="42">
        <f t="shared" si="6"/>
        <v>2081</v>
      </c>
    </row>
    <row r="115" spans="1:9" x14ac:dyDescent="0.3">
      <c r="A115" s="40" t="s">
        <v>545</v>
      </c>
      <c r="B115" s="41" t="s">
        <v>53</v>
      </c>
      <c r="C115" s="42">
        <v>9551</v>
      </c>
      <c r="D115" s="42">
        <v>828</v>
      </c>
      <c r="E115" s="42">
        <v>988501</v>
      </c>
      <c r="F115" s="43">
        <f t="shared" si="7"/>
        <v>8.8244726105487E-3</v>
      </c>
      <c r="G115" s="60">
        <v>1.525036393488727</v>
      </c>
      <c r="H115" s="44">
        <v>38047</v>
      </c>
      <c r="I115" s="42">
        <f t="shared" si="6"/>
        <v>8723</v>
      </c>
    </row>
    <row r="116" spans="1:9" x14ac:dyDescent="0.3">
      <c r="A116" s="40" t="s">
        <v>545</v>
      </c>
      <c r="B116" s="41" t="s">
        <v>26</v>
      </c>
      <c r="C116" s="42">
        <v>3376</v>
      </c>
      <c r="D116" s="42">
        <v>382</v>
      </c>
      <c r="E116" s="42">
        <v>991495</v>
      </c>
      <c r="F116" s="43">
        <f t="shared" si="7"/>
        <v>3.0196823988018094E-3</v>
      </c>
      <c r="G116" s="60">
        <v>3.8694093263203548</v>
      </c>
      <c r="H116" s="44">
        <v>44782</v>
      </c>
      <c r="I116" s="42">
        <f t="shared" si="6"/>
        <v>2994</v>
      </c>
    </row>
    <row r="117" spans="1:9" x14ac:dyDescent="0.3">
      <c r="A117" s="40" t="s">
        <v>545</v>
      </c>
      <c r="B117" s="41" t="s">
        <v>14</v>
      </c>
      <c r="C117" s="42">
        <v>4009</v>
      </c>
      <c r="D117" s="42">
        <v>454</v>
      </c>
      <c r="E117" s="42">
        <v>995050</v>
      </c>
      <c r="F117" s="43">
        <f t="shared" si="7"/>
        <v>3.5726847897090599E-3</v>
      </c>
      <c r="G117" s="60">
        <v>2.1106477061454201</v>
      </c>
      <c r="H117" s="44">
        <v>19833</v>
      </c>
      <c r="I117" s="42">
        <f t="shared" si="6"/>
        <v>3555</v>
      </c>
    </row>
    <row r="118" spans="1:9" x14ac:dyDescent="0.3">
      <c r="A118" s="40" t="s">
        <v>545</v>
      </c>
      <c r="B118" s="41" t="s">
        <v>21</v>
      </c>
      <c r="C118" s="42">
        <v>2827</v>
      </c>
      <c r="D118" s="42">
        <v>292</v>
      </c>
      <c r="E118" s="42">
        <v>997585</v>
      </c>
      <c r="F118" s="43">
        <f t="shared" si="7"/>
        <v>2.5411368454818384E-3</v>
      </c>
      <c r="G118" s="60">
        <v>2.4004972007397871</v>
      </c>
      <c r="H118" s="44">
        <v>17896</v>
      </c>
      <c r="I118" s="42">
        <f t="shared" si="6"/>
        <v>2535</v>
      </c>
    </row>
    <row r="119" spans="1:9" x14ac:dyDescent="0.3">
      <c r="A119" s="40" t="s">
        <v>546</v>
      </c>
      <c r="B119" s="41" t="s">
        <v>21</v>
      </c>
      <c r="C119" s="42">
        <v>7979</v>
      </c>
      <c r="D119" s="42">
        <v>470</v>
      </c>
      <c r="E119" s="42">
        <v>1005094</v>
      </c>
      <c r="F119" s="43">
        <f t="shared" si="7"/>
        <v>7.4709430162750948E-3</v>
      </c>
      <c r="G119" s="60">
        <v>10.43086517280971</v>
      </c>
      <c r="H119" s="44">
        <v>42972</v>
      </c>
      <c r="I119" s="42">
        <f t="shared" si="6"/>
        <v>7509</v>
      </c>
    </row>
    <row r="120" spans="1:9" x14ac:dyDescent="0.3">
      <c r="A120" s="40" t="s">
        <v>546</v>
      </c>
      <c r="B120" s="41" t="s">
        <v>26</v>
      </c>
      <c r="C120" s="42">
        <v>9569</v>
      </c>
      <c r="D120" s="42">
        <v>1277</v>
      </c>
      <c r="E120" s="42">
        <v>1013386</v>
      </c>
      <c r="F120" s="43">
        <f t="shared" si="7"/>
        <v>8.1824694637581338E-3</v>
      </c>
      <c r="G120" s="60">
        <v>12.45517502708741</v>
      </c>
      <c r="H120" s="44">
        <v>59733</v>
      </c>
      <c r="I120" s="42">
        <f t="shared" si="6"/>
        <v>8292</v>
      </c>
    </row>
    <row r="121" spans="1:9" x14ac:dyDescent="0.3">
      <c r="A121" s="40" t="s">
        <v>349</v>
      </c>
      <c r="B121" s="41" t="s">
        <v>21</v>
      </c>
      <c r="C121" s="42">
        <v>9561</v>
      </c>
      <c r="D121" s="42">
        <v>517</v>
      </c>
      <c r="E121" s="42">
        <v>1034649</v>
      </c>
      <c r="F121" s="43">
        <f t="shared" si="7"/>
        <v>8.741128633961856E-3</v>
      </c>
      <c r="G121" s="60">
        <v>6.4086467971263694</v>
      </c>
      <c r="H121" s="44">
        <v>15347</v>
      </c>
      <c r="I121" s="42">
        <f t="shared" si="6"/>
        <v>9044</v>
      </c>
    </row>
    <row r="122" spans="1:9" x14ac:dyDescent="0.3">
      <c r="A122" s="40" t="s">
        <v>349</v>
      </c>
      <c r="B122" s="41" t="s">
        <v>14</v>
      </c>
      <c r="C122" s="42">
        <v>4747</v>
      </c>
      <c r="D122" s="42">
        <v>558</v>
      </c>
      <c r="E122" s="42">
        <v>1041686</v>
      </c>
      <c r="F122" s="43">
        <f t="shared" si="7"/>
        <v>4.021365363458854E-3</v>
      </c>
      <c r="G122" s="60">
        <v>5.7680529449373434</v>
      </c>
      <c r="H122" s="44">
        <v>12643</v>
      </c>
      <c r="I122" s="42">
        <f t="shared" si="6"/>
        <v>4189</v>
      </c>
    </row>
    <row r="123" spans="1:9" x14ac:dyDescent="0.3">
      <c r="A123" s="40" t="s">
        <v>547</v>
      </c>
      <c r="B123" s="41" t="s">
        <v>53</v>
      </c>
      <c r="C123" s="42">
        <v>6978</v>
      </c>
      <c r="D123" s="42">
        <v>706</v>
      </c>
      <c r="E123" s="42">
        <v>1057293</v>
      </c>
      <c r="F123" s="43">
        <f t="shared" si="7"/>
        <v>5.9321304501212058E-3</v>
      </c>
      <c r="G123" s="60">
        <v>5.057443868445171</v>
      </c>
      <c r="H123" s="44">
        <v>28681</v>
      </c>
      <c r="I123" s="42">
        <f t="shared" si="6"/>
        <v>6272</v>
      </c>
    </row>
    <row r="124" spans="1:9" x14ac:dyDescent="0.3">
      <c r="A124" s="40" t="s">
        <v>547</v>
      </c>
      <c r="B124" s="41" t="s">
        <v>26</v>
      </c>
      <c r="C124" s="42">
        <v>6607</v>
      </c>
      <c r="D124" s="42">
        <v>479</v>
      </c>
      <c r="E124" s="42">
        <v>1063421</v>
      </c>
      <c r="F124" s="43">
        <f t="shared" si="7"/>
        <v>5.7625343114345116E-3</v>
      </c>
      <c r="G124" s="60">
        <v>5.5892257158735816</v>
      </c>
      <c r="H124" s="44">
        <v>48328</v>
      </c>
      <c r="I124" s="42">
        <f t="shared" si="6"/>
        <v>6128</v>
      </c>
    </row>
    <row r="125" spans="1:9" x14ac:dyDescent="0.3">
      <c r="A125" s="40" t="s">
        <v>547</v>
      </c>
      <c r="B125" s="41" t="s">
        <v>14</v>
      </c>
      <c r="C125" s="42">
        <v>1769</v>
      </c>
      <c r="D125" s="42">
        <v>202</v>
      </c>
      <c r="E125" s="42">
        <v>1064988</v>
      </c>
      <c r="F125" s="43">
        <f t="shared" si="7"/>
        <v>1.4713780812553757E-3</v>
      </c>
      <c r="G125" s="60">
        <v>6.5457075572682513</v>
      </c>
      <c r="H125" s="44">
        <v>25892</v>
      </c>
      <c r="I125" s="42">
        <f t="shared" si="6"/>
        <v>1567</v>
      </c>
    </row>
    <row r="126" spans="1:9" x14ac:dyDescent="0.3">
      <c r="A126" s="40" t="s">
        <v>547</v>
      </c>
      <c r="B126" s="41" t="s">
        <v>21</v>
      </c>
      <c r="C126" s="42">
        <v>1780</v>
      </c>
      <c r="D126" s="42">
        <v>120</v>
      </c>
      <c r="E126" s="42">
        <v>1066648</v>
      </c>
      <c r="F126" s="43">
        <f>(C126-D126)/E126</f>
        <v>1.55627723485161E-3</v>
      </c>
      <c r="G126" s="60">
        <v>13.86474263299608</v>
      </c>
      <c r="H126" s="44">
        <v>57299</v>
      </c>
      <c r="I126" s="42">
        <f t="shared" si="6"/>
        <v>1660</v>
      </c>
    </row>
    <row r="127" spans="1:9" x14ac:dyDescent="0.3">
      <c r="A127" s="40" t="s">
        <v>364</v>
      </c>
      <c r="B127" s="41" t="s">
        <v>14</v>
      </c>
      <c r="C127" s="42">
        <v>7303</v>
      </c>
      <c r="D127" s="42">
        <v>869</v>
      </c>
      <c r="E127" s="42">
        <v>1073082</v>
      </c>
      <c r="F127" s="43">
        <f t="shared" ref="F127:F141" si="8">(C127-D127)/E127</f>
        <v>5.9958139266151145E-3</v>
      </c>
      <c r="G127" s="60">
        <v>8.1237966902808925</v>
      </c>
      <c r="H127" s="44">
        <v>27073</v>
      </c>
      <c r="I127" s="42">
        <f t="shared" si="6"/>
        <v>6434</v>
      </c>
    </row>
    <row r="128" spans="1:9" x14ac:dyDescent="0.3">
      <c r="A128" s="40" t="s">
        <v>364</v>
      </c>
      <c r="B128" s="41" t="s">
        <v>21</v>
      </c>
      <c r="C128" s="42">
        <v>4983</v>
      </c>
      <c r="D128" s="42">
        <v>441</v>
      </c>
      <c r="E128" s="42">
        <v>1077624</v>
      </c>
      <c r="F128" s="43">
        <f t="shared" si="8"/>
        <v>4.2148281775461569E-3</v>
      </c>
      <c r="G128" s="60">
        <v>6.8954477628560609</v>
      </c>
      <c r="H128" s="44">
        <v>46768</v>
      </c>
      <c r="I128" s="42">
        <f t="shared" si="6"/>
        <v>4542</v>
      </c>
    </row>
    <row r="129" spans="1:9" x14ac:dyDescent="0.3">
      <c r="A129" s="40" t="s">
        <v>364</v>
      </c>
      <c r="B129" s="41" t="s">
        <v>53</v>
      </c>
      <c r="C129" s="42">
        <v>9714</v>
      </c>
      <c r="D129" s="42">
        <v>1395</v>
      </c>
      <c r="E129" s="42">
        <v>1085943</v>
      </c>
      <c r="F129" s="43">
        <f t="shared" si="8"/>
        <v>7.6606230713766746E-3</v>
      </c>
      <c r="G129" s="60">
        <v>5.2243073531483697</v>
      </c>
      <c r="H129" s="44">
        <v>40682</v>
      </c>
      <c r="I129" s="42">
        <f>(C129-D129)</f>
        <v>8319</v>
      </c>
    </row>
    <row r="130" spans="1:9" x14ac:dyDescent="0.3">
      <c r="A130" s="40" t="s">
        <v>364</v>
      </c>
      <c r="B130" s="41" t="s">
        <v>26</v>
      </c>
      <c r="C130" s="42">
        <v>1521</v>
      </c>
      <c r="D130" s="42">
        <v>96</v>
      </c>
      <c r="E130" s="42">
        <v>1087368</v>
      </c>
      <c r="F130" s="43">
        <f t="shared" si="8"/>
        <v>1.3105038956452645E-3</v>
      </c>
      <c r="G130" s="60">
        <v>12.709772588488899</v>
      </c>
      <c r="H130" s="44">
        <v>42262</v>
      </c>
      <c r="I130" s="42">
        <f t="shared" si="6"/>
        <v>1425</v>
      </c>
    </row>
    <row r="131" spans="1:9" x14ac:dyDescent="0.3">
      <c r="A131" s="40" t="s">
        <v>548</v>
      </c>
      <c r="B131" s="41" t="s">
        <v>21</v>
      </c>
      <c r="C131" s="42">
        <v>8569</v>
      </c>
      <c r="D131" s="42">
        <v>720</v>
      </c>
      <c r="E131" s="42">
        <v>1095217</v>
      </c>
      <c r="F131" s="43">
        <f t="shared" si="8"/>
        <v>7.1666162961312686E-3</v>
      </c>
      <c r="G131" s="60">
        <v>9.589697749395782</v>
      </c>
      <c r="H131" s="44">
        <v>41358</v>
      </c>
      <c r="I131" s="42">
        <f t="shared" si="6"/>
        <v>7849</v>
      </c>
    </row>
    <row r="132" spans="1:9" x14ac:dyDescent="0.3">
      <c r="A132" s="40" t="s">
        <v>549</v>
      </c>
      <c r="B132" s="41" t="s">
        <v>26</v>
      </c>
      <c r="C132" s="42">
        <v>5941</v>
      </c>
      <c r="D132" s="42">
        <v>450</v>
      </c>
      <c r="E132" s="42">
        <v>1117854</v>
      </c>
      <c r="F132" s="43">
        <f t="shared" si="8"/>
        <v>4.9120904876665469E-3</v>
      </c>
      <c r="G132" s="60">
        <v>12.414411899944</v>
      </c>
      <c r="H132" s="44">
        <v>58330</v>
      </c>
      <c r="I132" s="42">
        <f>(C132-D132)</f>
        <v>5491</v>
      </c>
    </row>
    <row r="133" spans="1:9" x14ac:dyDescent="0.3">
      <c r="A133" s="40" t="s">
        <v>549</v>
      </c>
      <c r="B133" s="41" t="s">
        <v>53</v>
      </c>
      <c r="C133" s="42">
        <v>8128</v>
      </c>
      <c r="D133" s="42">
        <v>1070</v>
      </c>
      <c r="E133" s="42">
        <v>1131337</v>
      </c>
      <c r="F133" s="43">
        <f t="shared" si="8"/>
        <v>6.2386362330587612E-3</v>
      </c>
      <c r="G133" s="60">
        <v>8.1114645768679008</v>
      </c>
      <c r="H133" s="44">
        <v>21918</v>
      </c>
      <c r="I133" s="42">
        <f t="shared" ref="I133:I141" si="9">(C133-D133)</f>
        <v>7058</v>
      </c>
    </row>
    <row r="134" spans="1:9" x14ac:dyDescent="0.3">
      <c r="A134" s="40" t="s">
        <v>322</v>
      </c>
      <c r="B134" s="41" t="s">
        <v>21</v>
      </c>
      <c r="C134" s="42">
        <v>1685</v>
      </c>
      <c r="D134" s="42">
        <v>173</v>
      </c>
      <c r="E134" s="42">
        <v>1135945</v>
      </c>
      <c r="F134" s="43">
        <f t="shared" si="8"/>
        <v>1.331050358952238E-3</v>
      </c>
      <c r="G134" s="60">
        <v>8.7776256772995165</v>
      </c>
      <c r="H134" s="44">
        <v>49110</v>
      </c>
      <c r="I134" s="42">
        <f t="shared" si="9"/>
        <v>1512</v>
      </c>
    </row>
    <row r="135" spans="1:9" x14ac:dyDescent="0.3">
      <c r="A135" s="40" t="s">
        <v>322</v>
      </c>
      <c r="B135" s="41" t="s">
        <v>53</v>
      </c>
      <c r="C135" s="42">
        <v>3160</v>
      </c>
      <c r="D135" s="42">
        <v>234</v>
      </c>
      <c r="E135" s="42">
        <v>1138871</v>
      </c>
      <c r="F135" s="43">
        <f t="shared" si="8"/>
        <v>2.5692110871204906E-3</v>
      </c>
      <c r="G135" s="60">
        <v>5.6959041015180816</v>
      </c>
      <c r="H135" s="44">
        <v>21929</v>
      </c>
      <c r="I135" s="42">
        <f t="shared" si="9"/>
        <v>2926</v>
      </c>
    </row>
    <row r="136" spans="1:9" x14ac:dyDescent="0.3">
      <c r="A136" s="40" t="s">
        <v>69</v>
      </c>
      <c r="B136" s="41" t="s">
        <v>21</v>
      </c>
      <c r="C136" s="42">
        <v>1038</v>
      </c>
      <c r="D136" s="42">
        <v>145</v>
      </c>
      <c r="E136" s="42">
        <v>1152775</v>
      </c>
      <c r="F136" s="43">
        <f t="shared" si="8"/>
        <v>7.7465246904209403E-4</v>
      </c>
      <c r="G136" s="60">
        <v>11.093752033137431</v>
      </c>
      <c r="H136" s="44">
        <v>55951</v>
      </c>
      <c r="I136" s="42">
        <f t="shared" si="9"/>
        <v>893</v>
      </c>
    </row>
    <row r="137" spans="1:9" x14ac:dyDescent="0.3">
      <c r="A137" s="40" t="s">
        <v>69</v>
      </c>
      <c r="B137" s="41" t="s">
        <v>14</v>
      </c>
      <c r="C137" s="42">
        <v>5875</v>
      </c>
      <c r="D137" s="42">
        <v>665</v>
      </c>
      <c r="E137" s="42">
        <v>1157985</v>
      </c>
      <c r="F137" s="43">
        <f t="shared" si="8"/>
        <v>4.4991947218659999E-3</v>
      </c>
      <c r="G137" s="60">
        <v>6.9871371390821126</v>
      </c>
      <c r="H137" s="44">
        <v>32669</v>
      </c>
      <c r="I137" s="42">
        <f t="shared" si="9"/>
        <v>5210</v>
      </c>
    </row>
    <row r="138" spans="1:9" x14ac:dyDescent="0.3">
      <c r="A138" s="40" t="s">
        <v>69</v>
      </c>
      <c r="B138" s="41" t="s">
        <v>26</v>
      </c>
      <c r="C138" s="42">
        <v>8697</v>
      </c>
      <c r="D138" s="42">
        <v>738</v>
      </c>
      <c r="E138" s="42">
        <v>1168011</v>
      </c>
      <c r="F138" s="43">
        <f t="shared" si="8"/>
        <v>6.8141481544266276E-3</v>
      </c>
      <c r="G138" s="60">
        <v>3.8777032065622672</v>
      </c>
      <c r="H138" s="44">
        <v>30644</v>
      </c>
      <c r="I138" s="42">
        <f t="shared" si="9"/>
        <v>7959</v>
      </c>
    </row>
    <row r="139" spans="1:9" x14ac:dyDescent="0.3">
      <c r="A139" s="40" t="s">
        <v>27</v>
      </c>
      <c r="B139" s="41" t="s">
        <v>26</v>
      </c>
      <c r="C139" s="42">
        <v>3196</v>
      </c>
      <c r="D139" s="42">
        <v>391</v>
      </c>
      <c r="E139" s="42">
        <v>1170816</v>
      </c>
      <c r="F139" s="43">
        <f t="shared" si="8"/>
        <v>2.3957650049196456E-3</v>
      </c>
      <c r="G139" s="60">
        <v>7.2439221876024931</v>
      </c>
      <c r="H139" s="44">
        <v>28745</v>
      </c>
      <c r="I139" s="42">
        <f t="shared" si="9"/>
        <v>2805</v>
      </c>
    </row>
    <row r="140" spans="1:9" x14ac:dyDescent="0.3">
      <c r="A140" s="40" t="s">
        <v>27</v>
      </c>
      <c r="B140" s="41" t="s">
        <v>21</v>
      </c>
      <c r="C140" s="42">
        <v>8165</v>
      </c>
      <c r="D140" s="42">
        <v>1140</v>
      </c>
      <c r="E140" s="42">
        <v>1177841</v>
      </c>
      <c r="F140" s="43">
        <f t="shared" si="8"/>
        <v>5.9643024822535473E-3</v>
      </c>
      <c r="G140" s="60">
        <v>9.095964565675672</v>
      </c>
      <c r="H140" s="44">
        <v>38228</v>
      </c>
      <c r="I140" s="42">
        <f t="shared" si="9"/>
        <v>7025</v>
      </c>
    </row>
    <row r="141" spans="1:9" x14ac:dyDescent="0.3">
      <c r="A141" s="40" t="s">
        <v>27</v>
      </c>
      <c r="B141" s="41" t="s">
        <v>53</v>
      </c>
      <c r="C141" s="42">
        <v>8527</v>
      </c>
      <c r="D141" s="42">
        <v>1091</v>
      </c>
      <c r="E141" s="42">
        <v>1186398</v>
      </c>
      <c r="F141" s="43">
        <f t="shared" si="8"/>
        <v>6.267711172810473E-3</v>
      </c>
      <c r="G141" s="60">
        <v>1.676081719625286</v>
      </c>
      <c r="H141" s="44">
        <v>41703</v>
      </c>
      <c r="I141" s="42">
        <f t="shared" si="9"/>
        <v>7436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EnSheet</vt:lpstr>
      <vt:lpstr>Campaign Sheet</vt:lpstr>
      <vt:lpstr>Task1</vt:lpstr>
      <vt:lpstr>Task2.1</vt:lpstr>
      <vt:lpstr>Task2.2</vt:lpstr>
      <vt:lpstr>Task2.3</vt:lpstr>
      <vt:lpstr>Task2.4</vt:lpstr>
      <vt:lpstr>Task3.1</vt:lpstr>
      <vt:lpstr>Task3.2</vt:lpstr>
      <vt:lpstr>Task3.3</vt:lpstr>
      <vt:lpstr>Task3.4</vt:lpstr>
      <vt:lpstr>Task4.1</vt:lpstr>
      <vt:lpstr>Task4.2</vt:lpstr>
      <vt:lpstr>Task4.3</vt:lpstr>
      <vt:lpstr>Task5.1</vt:lpstr>
      <vt:lpstr>Task5.1 Engagement Uplift</vt:lpstr>
      <vt:lpstr>Task5.1&amp;5.2</vt:lpstr>
      <vt:lpstr>Task6.1</vt:lpstr>
      <vt:lpstr> Task6.1 Chart</vt:lpstr>
      <vt:lpstr>Task6.2</vt:lpstr>
      <vt:lpstr>Task6.3</vt:lpstr>
      <vt:lpstr>Task6.4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 Neha</dc:creator>
  <cp:lastModifiedBy>shaik Neha</cp:lastModifiedBy>
  <dcterms:created xsi:type="dcterms:W3CDTF">2025-12-10T08:39:21Z</dcterms:created>
  <dcterms:modified xsi:type="dcterms:W3CDTF">2026-02-17T04:35:59Z</dcterms:modified>
</cp:coreProperties>
</file>